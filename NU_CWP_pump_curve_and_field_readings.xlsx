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938c6ff43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ve_Data" sheetId="1" r:id="R299b701fb6754ca4"/>
    <x:sheet xmlns:r="http://schemas.openxmlformats.org/officeDocument/2006/relationships" name="Field_Readings" sheetId="2" r:id="R24f7ffbff4a3486e"/>
    <x:sheet xmlns:r="http://schemas.openxmlformats.org/officeDocument/2006/relationships" name="Instrument_Scaling" sheetId="3" r:id="R04da5c52dbc744a0"/>
    <x:sheet xmlns:r="http://schemas.openxmlformats.org/officeDocument/2006/relationships" name="TDH_Check" sheetId="4" r:id="R8f0552d65aec4f8b"/>
    <x:sheet xmlns:r="http://schemas.openxmlformats.org/officeDocument/2006/relationships" name="Pump_Curve_Normalization" sheetId="5" r:id="Rcef649985d0345de"/>
    <x:sheet xmlns:r="http://schemas.openxmlformats.org/officeDocument/2006/relationships" name="Strainer_DP_Check" sheetId="6" r:id="R5e9fda5502b9498e"/>
    <x:sheet xmlns:r="http://schemas.openxmlformats.org/officeDocument/2006/relationships" name="Source_Notes" sheetId="7" r:id="R8e6c94c02510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27d2b424740c1" /><Relationship Type="http://schemas.openxmlformats.org/officeDocument/2006/relationships/theme" Target="/xl/theme/theme1.xml" Id="Rf1c8d7bb3b934646" /><Relationship Type="http://schemas.openxmlformats.org/officeDocument/2006/relationships/sharedStrings" Target="/xl/sharedStrings.xml" Id="R846da64f7f7c4869" /><Relationship Type="http://schemas.openxmlformats.org/officeDocument/2006/relationships/worksheet" Target="/xl/worksheets/sheet1.xml" Id="R299b701fb6754ca4" /><Relationship Type="http://schemas.openxmlformats.org/officeDocument/2006/relationships/worksheet" Target="/xl/worksheets/sheet2.xml" Id="R24f7ffbff4a3486e" /><Relationship Type="http://schemas.openxmlformats.org/officeDocument/2006/relationships/worksheet" Target="/xl/worksheets/sheet3.xml" Id="R04da5c52dbc744a0" /><Relationship Type="http://schemas.openxmlformats.org/officeDocument/2006/relationships/worksheet" Target="/xl/worksheets/sheet4.xml" Id="R8f0552d65aec4f8b" /><Relationship Type="http://schemas.openxmlformats.org/officeDocument/2006/relationships/worksheet" Target="/xl/worksheets/sheet5.xml" Id="Rcef649985d0345de" /><Relationship Type="http://schemas.openxmlformats.org/officeDocument/2006/relationships/worksheet" Target="/xl/worksheets/sheet6.xml" Id="R5e9fda5502b9498e" /><Relationship Type="http://schemas.openxmlformats.org/officeDocument/2006/relationships/worksheet" Target="/xl/worksheets/sheet7.xml" Id="R8e6c94c025104ade" /></Relationships>
</file>

<file path=xl/tables/table1.xml><?xml version="1.0" encoding="utf-8"?>
<x:table xmlns:x="http://schemas.openxmlformats.org/spreadsheetml/2006/main" id="1" name="CurveData" displayName="CurveData" ref="A1:G25" headerRowCount="1">
  <x:tableColumns count="7">
    <x:tableColumn id="1" name="source_id"/>
    <x:tableColumn id="2" name="speed_hz"/>
    <x:tableColumn id="3" name="flow_gpm"/>
    <x:tableColumn id="4" name="head_ft"/>
    <x:tableColumn id="5" name="efficiency_pct"/>
    <x:tableColumn id="6" name="npshr_ft"/>
    <x:tableColumn id="7" name="curve_note"/>
  </x:tableColumns>
  <x:tableStyleInfo name="TableStyleMedium2" showRowStripes="1"/>
</x:table>
</file>

<file path=xl/tables/table2.xml><?xml version="1.0" encoding="utf-8"?>
<x:table xmlns:x="http://schemas.openxmlformats.org/spreadsheetml/2006/main" id="2" name="FieldReadings" displayName="FieldReadings" ref="A1:L10" headerRowCount="1">
  <x:tableColumns count="12">
    <x:tableColumn id="1" name="source_id"/>
    <x:tableColumn id="2" name="timestamp"/>
    <x:tableColumn id="3" name="source_file_ref"/>
    <x:tableColumn id="4" name="vfd_hz"/>
    <x:tableColumn id="5" name="flow_gpm_bas"/>
    <x:tableColumn id="6" name="flow_gpm_ultra"/>
    <x:tableColumn id="7" name="suction_psi"/>
    <x:tableColumn id="8" name="discharge_psi"/>
    <x:tableColumn id="9" name="gauge_elev_delta_ft"/>
    <x:tableColumn id="10" name="local_flush_psi"/>
    <x:tableColumn id="11" name="seal_observation"/>
    <x:tableColumn id="12" name="field_note"/>
  </x:tableColumns>
  <x:tableStyleInfo name="TableStyleMedium2" showRowStripes="1"/>
</x:table>
</file>

<file path=xl/tables/table3.xml><?xml version="1.0" encoding="utf-8"?>
<x:table xmlns:x="http://schemas.openxmlformats.org/spreadsheetml/2006/main" id="3" name="InstrumentScaling" displayName="InstrumentScaling" ref="A1:I6" headerRowCount="1">
  <x:tableColumns count="9">
    <x:tableColumn id="1" name="source_id"/>
    <x:tableColumn id="2" name="timestamp"/>
    <x:tableColumn id="3" name="instrument_tag"/>
    <x:tableColumn id="4" name="loop_card_scale_gpm"/>
    <x:tableColumn id="5" name="bas_scale_gpm"/>
    <x:tableColumn id="6" name="ultrasonic_gpm"/>
    <x:tableColumn id="7" name="bas_gpm"/>
    <x:tableColumn id="8" name="scale_status"/>
    <x:tableColumn id="9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TDHCheck" displayName="TDHCheck" ref="A1:I10" headerRowCount="1">
  <x:tableColumns count="9">
    <x:tableColumn id="1" name="source_id"/>
    <x:tableColumn id="2" name="timestamp"/>
    <x:tableColumn id="3" name="vfd_hz"/>
    <x:tableColumn id="4" name="suction_psi"/>
    <x:tableColumn id="5" name="discharge_psi"/>
    <x:tableColumn id="6" name="elev_delta_ft"/>
    <x:tableColumn id="7" name="tdh_ft_formula"/>
    <x:tableColumn id="8" name="source_trace"/>
    <x:tableColumn id="9" name="tdh_note"/>
  </x:tableColumns>
  <x:tableStyleInfo name="TableStyleMedium2" showRowStripes="1"/>
</x:table>
</file>

<file path=xl/tables/table5.xml><?xml version="1.0" encoding="utf-8"?>
<x:table xmlns:x="http://schemas.openxmlformats.org/spreadsheetml/2006/main" id="5" name="PumpCurveNormalization" displayName="PumpCurveNormalization" ref="A1:K10" headerRowCount="1">
  <x:tableColumns count="11">
    <x:tableColumn id="1" name="source_id"/>
    <x:tableColumn id="2" name="field_record"/>
    <x:tableColumn id="3" name="vfd_hz"/>
    <x:tableColumn id="4" name="measured_flow_gpm"/>
    <x:tableColumn id="5" name="normalized_flow_to_50hz"/>
    <x:tableColumn id="6" name="measured_tdh_ft"/>
    <x:tableColumn id="7" name="normalized_head_to_50hz"/>
    <x:tableColumn id="8" name="curve_expected_head_ft"/>
    <x:tableColumn id="9" name="head_shortfall_ft"/>
    <x:tableColumn id="10" name="status"/>
    <x:tableColumn id="11" name="trace"/>
  </x:tableColumns>
  <x:tableStyleInfo name="TableStyleMedium2" showRowStripes="1"/>
</x:table>
</file>

<file path=xl/tables/table6.xml><?xml version="1.0" encoding="utf-8"?>
<x:table xmlns:x="http://schemas.openxmlformats.org/spreadsheetml/2006/main" id="6" name="StrainerDPCheck" displayName="StrainerDPCheck" ref="A1:J20" headerRowCount="1">
  <x:tableColumns count="10">
    <x:tableColumn id="1" name="source_id"/>
    <x:tableColumn id="2" name="timestamp"/>
    <x:tableColumn id="3" name="vfd_hz"/>
    <x:tableColumn id="4" name="upstream_psi"/>
    <x:tableColumn id="5" name="downstream_psi"/>
    <x:tableColumn id="6" name="strainer_dp_psi"/>
    <x:tableColumn id="7" name="oem_action_psi"/>
    <x:tableColumn id="8" name="status"/>
    <x:tableColumn id="9" name="source_trace"/>
    <x:tableColumn id="10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SourceNotes" displayName="SourceNotes" ref="A1:D6" headerRowCount="1">
  <x:tableColumns count="4">
    <x:tableColumn id="1" name="source_file"/>
    <x:tableColumn id="2" name="sheet_or_section"/>
    <x:tableColumn id="3" name="record_range"/>
    <x:tableColumn id="4" name="role_in_reconciliation"/>
  </x:tableColumns>
  <x:tableStyleInfo name="TableStyleMedium2" showRowStripes="1"/>
</x:table>
</file>

<file path=xl/theme/theme1.xml><?xml version="1.0" encoding="utf-8"?>
<a:theme xmlns:a="http://schemas.openxmlformats.org/drawingml/2006/main" name="NorthUtilities">
  <a:themeElements>
    <a:clrScheme name="NorthUtilitie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orthUtilitie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1da5336f6447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9f997f2a174d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655f5c6b5941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e0719dec304f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5e8ff4fdcf49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12b2b049784a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eae4bdc638f4781" /></Relationships>
</file>

<file path=xl/worksheets/sheet1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7.75" hidden="0" customWidth="1"/>
    <x:col min="3" max="3" width="8.130000114440918" hidden="0" customWidth="1"/>
    <x:col min="4" max="4" width="6.380000114440918" hidden="0" customWidth="1"/>
    <x:col min="5" max="5" width="11" hidden="0" customWidth="1"/>
    <x:col min="6" max="6" width="7" hidden="0" customWidth="1"/>
    <x:col min="7" max="7" width="43.130001068115234" hidden="0" customWidth="1"/>
  </x:cols>
  <x:sheetData>
    <x:row r="1">
      <x:c r="A1" s="10" t="str">
        <x:v>source_id</x:v>
      </x:c>
      <x:c r="B1" s="10" t="str">
        <x:v>speed_hz</x:v>
      </x:c>
      <x:c r="C1" s="10" t="str">
        <x:v>flow_gpm</x:v>
      </x:c>
      <x:c r="D1" s="10" t="str">
        <x:v>head_ft</x:v>
      </x:c>
      <x:c r="E1" s="10" t="str">
        <x:v>efficiency_pct</x:v>
      </x:c>
      <x:c r="F1" s="10" t="str">
        <x:v>npshr_ft</x:v>
      </x:c>
      <x:c r="G1" s="10" t="str">
        <x:v>curve_note</x:v>
      </x:c>
    </x:row>
    <x:row r="2">
      <x:c r="A2" s="11" t="str">
        <x:v>CUR-50-001</x:v>
      </x:c>
      <x:c r="B2" s="11" t="n">
        <x:v>50</x:v>
      </x:c>
      <x:c r="C2" s="11" t="n">
        <x:v>800</x:v>
      </x:c>
      <x:c r="D2" s="11" t="n">
        <x:v>142</x:v>
      </x:c>
      <x:c r="E2" s="11" t="n">
        <x:v>62</x:v>
      </x:c>
      <x:c r="F2" s="11" t="n">
        <x:v>9.5</x:v>
      </x:c>
      <x:c r="G2" s="11" t="str">
        <x:v>OEM 50 Hz curve, 9.75 in trimmed impeller, water at 70 F</x:v>
      </x:c>
    </x:row>
    <x:row r="3">
      <x:c r="A3" s="11" t="str">
        <x:v>CUR-50-002</x:v>
      </x:c>
      <x:c r="B3" s="11" t="n">
        <x:v>50</x:v>
      </x:c>
      <x:c r="C3" s="11" t="n">
        <x:v>1000</x:v>
      </x:c>
      <x:c r="D3" s="11" t="n">
        <x:v>136</x:v>
      </x:c>
      <x:c r="E3" s="11" t="n">
        <x:v>70</x:v>
      </x:c>
      <x:c r="F3" s="11" t="n">
        <x:v>10.2</x:v>
      </x:c>
      <x:c r="G3" s="11" t="str">
        <x:v>OEM 50 Hz curve, 9.75 in trimmed impeller, water at 70 F</x:v>
      </x:c>
    </x:row>
    <x:row r="4">
      <x:c r="A4" s="11" t="str">
        <x:v>CUR-50-003</x:v>
      </x:c>
      <x:c r="B4" s="11" t="n">
        <x:v>50</x:v>
      </x:c>
      <x:c r="C4" s="11" t="n">
        <x:v>1200</x:v>
      </x:c>
      <x:c r="D4" s="11" t="n">
        <x:v>126</x:v>
      </x:c>
      <x:c r="E4" s="11" t="n">
        <x:v>77</x:v>
      </x:c>
      <x:c r="F4" s="11" t="n">
        <x:v>11.4</x:v>
      </x:c>
      <x:c r="G4" s="11" t="str">
        <x:v>OEM 50 Hz curve, 9.75 in trimmed impeller, water at 70 F</x:v>
      </x:c>
    </x:row>
    <x:row r="5">
      <x:c r="A5" s="11" t="str">
        <x:v>CUR-50-004</x:v>
      </x:c>
      <x:c r="B5" s="11" t="n">
        <x:v>50</x:v>
      </x:c>
      <x:c r="C5" s="11" t="n">
        <x:v>1400</x:v>
      </x:c>
      <x:c r="D5" s="11" t="n">
        <x:v>112</x:v>
      </x:c>
      <x:c r="E5" s="11" t="n">
        <x:v>80</x:v>
      </x:c>
      <x:c r="F5" s="11" t="n">
        <x:v>12.8</x:v>
      </x:c>
      <x:c r="G5" s="11" t="str">
        <x:v>OEM 50 Hz curve, 9.75 in trimmed impeller, water at 70 F</x:v>
      </x:c>
    </x:row>
    <x:row r="6">
      <x:c r="A6" s="11" t="str">
        <x:v>CUR-50-005</x:v>
      </x:c>
      <x:c r="B6" s="11" t="n">
        <x:v>50</x:v>
      </x:c>
      <x:c r="C6" s="11" t="n">
        <x:v>1600</x:v>
      </x:c>
      <x:c r="D6" s="11" t="n">
        <x:v>95</x:v>
      </x:c>
      <x:c r="E6" s="11" t="n">
        <x:v>78</x:v>
      </x:c>
      <x:c r="F6" s="11" t="n">
        <x:v>14.2</x:v>
      </x:c>
      <x:c r="G6" s="11" t="str">
        <x:v>OEM 50 Hz curve, 9.75 in trimmed impeller, water at 70 F</x:v>
      </x:c>
    </x:row>
    <x:row r="7">
      <x:c r="A7" s="11" t="str">
        <x:v>CUR-50-006</x:v>
      </x:c>
      <x:c r="B7" s="11" t="n">
        <x:v>50</x:v>
      </x:c>
      <x:c r="C7" s="11" t="n">
        <x:v>1800</x:v>
      </x:c>
      <x:c r="D7" s="11" t="n">
        <x:v>73</x:v>
      </x:c>
      <x:c r="E7" s="11" t="n">
        <x:v>70</x:v>
      </x:c>
      <x:c r="F7" s="11" t="n">
        <x:v>16.8</x:v>
      </x:c>
      <x:c r="G7" s="11" t="str">
        <x:v>OEM 50 Hz curve, 9.75 in trimmed impeller, water at 70 F</x:v>
      </x:c>
    </x:row>
    <x:row r="8">
      <x:c r="A8" s="11" t="str">
        <x:v>CUR-43-001</x:v>
      </x:c>
      <x:c r="B8" s="11" t="n">
        <x:v>43</x:v>
      </x:c>
      <x:c r="C8" s="11" t="n">
        <x:v>688</x:v>
      </x:c>
      <x:c r="D8" s="11" t="n">
        <x:v>105</x:v>
      </x:c>
      <x:c r="E8" s="11" t="n">
        <x:v>62</x:v>
      </x:c>
      <x:c r="F8" s="11" t="n">
        <x:v>8</x:v>
      </x:c>
      <x:c r="G8" s="11" t="str">
        <x:v>Affinity-adjusted reference supplied by reliability group</x:v>
      </x:c>
    </x:row>
    <x:row r="9">
      <x:c r="A9" s="11" t="str">
        <x:v>CUR-43-002</x:v>
      </x:c>
      <x:c r="B9" s="11" t="n">
        <x:v>43</x:v>
      </x:c>
      <x:c r="C9" s="11" t="n">
        <x:v>860</x:v>
      </x:c>
      <x:c r="D9" s="11" t="n">
        <x:v>101</x:v>
      </x:c>
      <x:c r="E9" s="11" t="n">
        <x:v>70</x:v>
      </x:c>
      <x:c r="F9" s="11" t="n">
        <x:v>8.8</x:v>
      </x:c>
      <x:c r="G9" s="11" t="str">
        <x:v>Affinity-adjusted reference supplied by reliability group</x:v>
      </x:c>
    </x:row>
    <x:row r="10">
      <x:c r="A10" s="11" t="str">
        <x:v>CUR-43-003</x:v>
      </x:c>
      <x:c r="B10" s="11" t="n">
        <x:v>43</x:v>
      </x:c>
      <x:c r="C10" s="11" t="n">
        <x:v>1032</x:v>
      </x:c>
      <x:c r="D10" s="11" t="n">
        <x:v>93</x:v>
      </x:c>
      <x:c r="E10" s="11" t="n">
        <x:v>77</x:v>
      </x:c>
      <x:c r="F10" s="11" t="n">
        <x:v>9.8</x:v>
      </x:c>
      <x:c r="G10" s="11" t="str">
        <x:v>Affinity-adjusted reference supplied by reliability group</x:v>
      </x:c>
    </x:row>
    <x:row r="11">
      <x:c r="A11" s="11" t="str">
        <x:v>CUR-43-004</x:v>
      </x:c>
      <x:c r="B11" s="11" t="n">
        <x:v>43</x:v>
      </x:c>
      <x:c r="C11" s="11" t="n">
        <x:v>1204</x:v>
      </x:c>
      <x:c r="D11" s="11" t="n">
        <x:v>83</x:v>
      </x:c>
      <x:c r="E11" s="11" t="n">
        <x:v>80</x:v>
      </x:c>
      <x:c r="F11" s="11" t="n">
        <x:v>11</x:v>
      </x:c>
      <x:c r="G11" s="11" t="str">
        <x:v>Affinity-adjusted reference supplied by reliability group</x:v>
      </x:c>
    </x:row>
    <x:row r="12">
      <x:c r="A12" s="11" t="str">
        <x:v>CUR-43-005</x:v>
      </x:c>
      <x:c r="B12" s="11" t="n">
        <x:v>43</x:v>
      </x:c>
      <x:c r="C12" s="11" t="n">
        <x:v>1376</x:v>
      </x:c>
      <x:c r="D12" s="11" t="n">
        <x:v>71</x:v>
      </x:c>
      <x:c r="E12" s="11" t="n">
        <x:v>78</x:v>
      </x:c>
      <x:c r="F12" s="11" t="n">
        <x:v>12.2</x:v>
      </x:c>
      <x:c r="G12" s="11" t="str">
        <x:v>Affinity-adjusted reference supplied by reliability group</x:v>
      </x:c>
    </x:row>
    <x:row r="13">
      <x:c r="A13" s="11" t="str">
        <x:v>CUR-43-006</x:v>
      </x:c>
      <x:c r="B13" s="11" t="n">
        <x:v>43</x:v>
      </x:c>
      <x:c r="C13" s="11" t="n">
        <x:v>1548</x:v>
      </x:c>
      <x:c r="D13" s="11" t="n">
        <x:v>54</x:v>
      </x:c>
      <x:c r="E13" s="11" t="n">
        <x:v>70</x:v>
      </x:c>
      <x:c r="F13" s="11" t="n">
        <x:v>14.4</x:v>
      </x:c>
      <x:c r="G13" s="11" t="str">
        <x:v>Affinity-adjusted reference supplied by reliability group</x:v>
      </x:c>
    </x:row>
    <x:row r="14">
      <x:c r="A14" s="11" t="str">
        <x:v>CUR-47-001</x:v>
      </x:c>
      <x:c r="B14" s="11" t="n">
        <x:v>47</x:v>
      </x:c>
      <x:c r="C14" s="11" t="n">
        <x:v>752</x:v>
      </x:c>
      <x:c r="D14" s="11" t="n">
        <x:v>125</x:v>
      </x:c>
      <x:c r="E14" s="11" t="n">
        <x:v>62</x:v>
      </x:c>
      <x:c r="F14" s="11" t="n">
        <x:v>8.9</x:v>
      </x:c>
      <x:c r="G14" s="11" t="str">
        <x:v>Affinity-adjusted reference supplied by reliability group</x:v>
      </x:c>
    </x:row>
    <x:row r="15">
      <x:c r="A15" s="11" t="str">
        <x:v>CUR-47-002</x:v>
      </x:c>
      <x:c r="B15" s="11" t="n">
        <x:v>47</x:v>
      </x:c>
      <x:c r="C15" s="11" t="n">
        <x:v>940</x:v>
      </x:c>
      <x:c r="D15" s="11" t="n">
        <x:v>120</x:v>
      </x:c>
      <x:c r="E15" s="11" t="n">
        <x:v>70</x:v>
      </x:c>
      <x:c r="F15" s="11" t="n">
        <x:v>9.5</x:v>
      </x:c>
      <x:c r="G15" s="11" t="str">
        <x:v>Affinity-adjusted reference supplied by reliability group</x:v>
      </x:c>
    </x:row>
    <x:row r="16">
      <x:c r="A16" s="11" t="str">
        <x:v>CUR-47-003</x:v>
      </x:c>
      <x:c r="B16" s="11" t="n">
        <x:v>47</x:v>
      </x:c>
      <x:c r="C16" s="11" t="n">
        <x:v>1128</x:v>
      </x:c>
      <x:c r="D16" s="11" t="n">
        <x:v>111</x:v>
      </x:c>
      <x:c r="E16" s="11" t="n">
        <x:v>77</x:v>
      </x:c>
      <x:c r="F16" s="11" t="n">
        <x:v>10.7</x:v>
      </x:c>
      <x:c r="G16" s="11" t="str">
        <x:v>Affinity-adjusted reference supplied by reliability group</x:v>
      </x:c>
    </x:row>
    <x:row r="17">
      <x:c r="A17" s="11" t="str">
        <x:v>CUR-47-004</x:v>
      </x:c>
      <x:c r="B17" s="11" t="n">
        <x:v>47</x:v>
      </x:c>
      <x:c r="C17" s="11" t="n">
        <x:v>1316</x:v>
      </x:c>
      <x:c r="D17" s="11" t="n">
        <x:v>99</x:v>
      </x:c>
      <x:c r="E17" s="11" t="n">
        <x:v>80</x:v>
      </x:c>
      <x:c r="F17" s="11" t="n">
        <x:v>12</x:v>
      </x:c>
      <x:c r="G17" s="11" t="str">
        <x:v>Affinity-adjusted reference supplied by reliability group</x:v>
      </x:c>
    </x:row>
    <x:row r="18">
      <x:c r="A18" s="11" t="str">
        <x:v>CUR-47-005</x:v>
      </x:c>
      <x:c r="B18" s="11" t="n">
        <x:v>47</x:v>
      </x:c>
      <x:c r="C18" s="11" t="n">
        <x:v>1504</x:v>
      </x:c>
      <x:c r="D18" s="11" t="n">
        <x:v>84</x:v>
      </x:c>
      <x:c r="E18" s="11" t="n">
        <x:v>78</x:v>
      </x:c>
      <x:c r="F18" s="11" t="n">
        <x:v>13.3</x:v>
      </x:c>
      <x:c r="G18" s="11" t="str">
        <x:v>Affinity-adjusted reference supplied by reliability group</x:v>
      </x:c>
    </x:row>
    <x:row r="19">
      <x:c r="A19" s="11" t="str">
        <x:v>CUR-47-006</x:v>
      </x:c>
      <x:c r="B19" s="11" t="n">
        <x:v>47</x:v>
      </x:c>
      <x:c r="C19" s="11" t="n">
        <x:v>1692</x:v>
      </x:c>
      <x:c r="D19" s="11" t="n">
        <x:v>64</x:v>
      </x:c>
      <x:c r="E19" s="11" t="n">
        <x:v>70</x:v>
      </x:c>
      <x:c r="F19" s="11" t="n">
        <x:v>15.8</x:v>
      </x:c>
      <x:c r="G19" s="11" t="str">
        <x:v>Affinity-adjusted reference supplied by reliability group</x:v>
      </x:c>
    </x:row>
    <x:row r="20">
      <x:c r="A20" s="11" t="str">
        <x:v>CUR-52-001</x:v>
      </x:c>
      <x:c r="B20" s="11" t="n">
        <x:v>52</x:v>
      </x:c>
      <x:c r="C20" s="11" t="n">
        <x:v>832</x:v>
      </x:c>
      <x:c r="D20" s="11" t="n">
        <x:v>154</x:v>
      </x:c>
      <x:c r="E20" s="11" t="n">
        <x:v>62</x:v>
      </x:c>
      <x:c r="F20" s="11" t="n">
        <x:v>10.2</x:v>
      </x:c>
      <x:c r="G20" s="11" t="str">
        <x:v>Affinity-adjusted reference supplied by reliability group</x:v>
      </x:c>
    </x:row>
    <x:row r="21">
      <x:c r="A21" s="11" t="str">
        <x:v>CUR-52-002</x:v>
      </x:c>
      <x:c r="B21" s="11" t="n">
        <x:v>52</x:v>
      </x:c>
      <x:c r="C21" s="11" t="n">
        <x:v>1040</x:v>
      </x:c>
      <x:c r="D21" s="11" t="n">
        <x:v>147</x:v>
      </x:c>
      <x:c r="E21" s="11" t="n">
        <x:v>70</x:v>
      </x:c>
      <x:c r="F21" s="11" t="n">
        <x:v>11</x:v>
      </x:c>
      <x:c r="G21" s="11" t="str">
        <x:v>Affinity-adjusted reference supplied by reliability group</x:v>
      </x:c>
    </x:row>
    <x:row r="22">
      <x:c r="A22" s="11" t="str">
        <x:v>CUR-52-003</x:v>
      </x:c>
      <x:c r="B22" s="11" t="n">
        <x:v>52</x:v>
      </x:c>
      <x:c r="C22" s="11" t="n">
        <x:v>1248</x:v>
      </x:c>
      <x:c r="D22" s="11" t="n">
        <x:v>136</x:v>
      </x:c>
      <x:c r="E22" s="11" t="n">
        <x:v>77</x:v>
      </x:c>
      <x:c r="F22" s="11" t="n">
        <x:v>12.3</x:v>
      </x:c>
      <x:c r="G22" s="11" t="str">
        <x:v>Affinity-adjusted reference supplied by reliability group</x:v>
      </x:c>
    </x:row>
    <x:row r="23">
      <x:c r="A23" s="11" t="str">
        <x:v>CUR-52-004</x:v>
      </x:c>
      <x:c r="B23" s="11" t="n">
        <x:v>52</x:v>
      </x:c>
      <x:c r="C23" s="11" t="n">
        <x:v>1456</x:v>
      </x:c>
      <x:c r="D23" s="11" t="n">
        <x:v>121</x:v>
      </x:c>
      <x:c r="E23" s="11" t="n">
        <x:v>80</x:v>
      </x:c>
      <x:c r="F23" s="11" t="n">
        <x:v>13.8</x:v>
      </x:c>
      <x:c r="G23" s="11" t="str">
        <x:v>Affinity-adjusted reference supplied by reliability group</x:v>
      </x:c>
    </x:row>
    <x:row r="24">
      <x:c r="A24" s="11" t="str">
        <x:v>CUR-52-005</x:v>
      </x:c>
      <x:c r="B24" s="11" t="n">
        <x:v>52</x:v>
      </x:c>
      <x:c r="C24" s="11" t="n">
        <x:v>1664</x:v>
      </x:c>
      <x:c r="D24" s="11" t="n">
        <x:v>103</x:v>
      </x:c>
      <x:c r="E24" s="11" t="n">
        <x:v>78</x:v>
      </x:c>
      <x:c r="F24" s="11" t="n">
        <x:v>15.4</x:v>
      </x:c>
      <x:c r="G24" s="11" t="str">
        <x:v>Affinity-adjusted reference supplied by reliability group</x:v>
      </x:c>
    </x:row>
    <x:row r="25">
      <x:c r="A25" s="11" t="str">
        <x:v>CUR-52-006</x:v>
      </x:c>
      <x:c r="B25" s="11" t="n">
        <x:v>52</x:v>
      </x:c>
      <x:c r="C25" s="11" t="n">
        <x:v>1872</x:v>
      </x:c>
      <x:c r="D25" s="11" t="n">
        <x:v>79</x:v>
      </x:c>
      <x:c r="E25" s="11" t="n">
        <x:v>70</x:v>
      </x:c>
      <x:c r="F25" s="11" t="n">
        <x:v>18.2</x:v>
      </x:c>
      <x:c r="G25" s="11" t="str">
        <x:v>Affinity-adjusted reference supplied by reliability group</x:v>
      </x:c>
    </x:row>
  </x:sheetData>
  <x:pageMargins left="0.7" right="0.7" top="0.75" bottom="0.75" header="0.3" footer="0.3"/>
  <x:tableParts count="1">
    <x:tablePart xmlns:r="http://schemas.openxmlformats.org/officeDocument/2006/relationships" r:id="Re71da5336f6447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3.75" hidden="0" customWidth="1"/>
    <x:col min="3" max="3" width="15.75" hidden="0" customWidth="1"/>
    <x:col min="4" max="4" width="5.630000114440918" hidden="0" customWidth="1"/>
    <x:col min="5" max="5" width="11.75" hidden="0" customWidth="1"/>
    <x:col min="6" max="6" width="12.630000114440918" hidden="0" customWidth="1"/>
    <x:col min="7" max="7" width="9.130000114440918" hidden="0" customWidth="1"/>
    <x:col min="8" max="8" width="10.880000114440918" hidden="0" customWidth="1"/>
    <x:col min="9" max="9" width="16" hidden="0" customWidth="1"/>
    <x:col min="10" max="10" width="11.75" hidden="0" customWidth="1"/>
    <x:col min="11" max="11" width="14.630000114440918" hidden="0" customWidth="1"/>
    <x:col min="12" max="12" width="40.380001068115234" hidden="0" customWidth="1"/>
  </x:cols>
  <x:sheetData>
    <x:row r="1">
      <x:c r="A1" s="10" t="str">
        <x:v>source_id</x:v>
      </x:c>
      <x:c r="B1" s="10" t="str">
        <x:v>timestamp</x:v>
      </x:c>
      <x:c r="C1" s="10" t="str">
        <x:v>source_file_ref</x:v>
      </x:c>
      <x:c r="D1" s="10" t="str">
        <x:v>vfd_hz</x:v>
      </x:c>
      <x:c r="E1" s="10" t="str">
        <x:v>flow_gpm_bas</x:v>
      </x:c>
      <x:c r="F1" s="10" t="str">
        <x:v>flow_gpm_ultra</x:v>
      </x:c>
      <x:c r="G1" s="10" t="str">
        <x:v>suction_psi</x:v>
      </x:c>
      <x:c r="H1" s="10" t="str">
        <x:v>discharge_psi</x:v>
      </x:c>
      <x:c r="I1" s="10" t="str">
        <x:v>gauge_elev_delta_ft</x:v>
      </x:c>
      <x:c r="J1" s="10" t="str">
        <x:v>local_flush_psi</x:v>
      </x:c>
      <x:c r="K1" s="10" t="str">
        <x:v>seal_observation</x:v>
      </x:c>
      <x:c r="L1" s="10" t="str">
        <x:v>field_note</x:v>
      </x:c>
    </x:row>
    <x:row r="2">
      <x:c r="A2" s="11" t="str">
        <x:v>PFR-001</x:v>
      </x:c>
      <x:c r="B2" s="11" t="str">
        <x:v>2026-05-04 05:48</x:v>
      </x:c>
      <x:c r="C2" s="11" t="str">
        <x:v>BAS-002</x:v>
      </x:c>
      <x:c r="D2" s="11" t="n">
        <x:v>47</x:v>
      </x:c>
      <x:c r="E2" s="11" t="n">
        <x:v>945</x:v>
      </x:c>
      <x:c r="F2" s="11" t="str"/>
      <x:c r="G2" s="11" t="n">
        <x:v>12.1</x:v>
      </x:c>
      <x:c r="H2" s="11" t="n">
        <x:v>58.6</x:v>
      </x:c>
      <x:c r="I2" s="11" t="n">
        <x:v>3</x:v>
      </x:c>
      <x:c r="J2" s="11" t="str"/>
      <x:c r="K2" s="11" t="str">
        <x:v>no local gauge</x:v>
      </x:c>
      <x:c r="L2" s="11" t="str">
        <x:v>BAS flow pre-scaling correction</x:v>
      </x:c>
    </x:row>
    <x:row r="3">
      <x:c r="A3" s="11" t="str">
        <x:v>PFR-002</x:v>
      </x:c>
      <x:c r="B3" s="11" t="str">
        <x:v>2026-05-06 07:25</x:v>
      </x:c>
      <x:c r="C3" s="11" t="str">
        <x:v>BAS-003</x:v>
      </x:c>
      <x:c r="D3" s="11" t="n">
        <x:v>47</x:v>
      </x:c>
      <x:c r="E3" s="11" t="n">
        <x:v>910</x:v>
      </x:c>
      <x:c r="F3" s="11" t="str"/>
      <x:c r="G3" s="11" t="n">
        <x:v>11.8</x:v>
      </x:c>
      <x:c r="H3" s="11" t="n">
        <x:v>56.9</x:v>
      </x:c>
      <x:c r="I3" s="11" t="n">
        <x:v>3</x:v>
      </x:c>
      <x:c r="J3" s="11" t="str"/>
      <x:c r="K3" s="11" t="str">
        <x:v>no local gauge</x:v>
      </x:c>
      <x:c r="L3" s="11" t="str">
        <x:v>after strainer debris; no strainer taps</x:v>
      </x:c>
    </x:row>
    <x:row r="4">
      <x:c r="A4" s="11" t="str">
        <x:v>PFR-003</x:v>
      </x:c>
      <x:c r="B4" s="11" t="str">
        <x:v>2026-05-10 18:10</x:v>
      </x:c>
      <x:c r="C4" s="11" t="str">
        <x:v>BAS-008</x:v>
      </x:c>
      <x:c r="D4" s="11" t="n">
        <x:v>47</x:v>
      </x:c>
      <x:c r="E4" s="11" t="n">
        <x:v>955</x:v>
      </x:c>
      <x:c r="F4" s="11" t="str"/>
      <x:c r="G4" s="11" t="n">
        <x:v>12.1</x:v>
      </x:c>
      <x:c r="H4" s="11" t="n">
        <x:v>57.6</x:v>
      </x:c>
      <x:c r="I4" s="11" t="n">
        <x:v>3</x:v>
      </x:c>
      <x:c r="J4" s="11" t="str"/>
      <x:c r="K4" s="11" t="str">
        <x:v>mist at guard drain</x:v>
      </x:c>
      <x:c r="L4" s="11" t="str">
        <x:v>after claimed seal replacement</x:v>
      </x:c>
    </x:row>
    <x:row r="5">
      <x:c r="A5" s="11" t="str">
        <x:v>PFR-004</x:v>
      </x:c>
      <x:c r="B5" s="11" t="str">
        <x:v>2026-05-12 10:15</x:v>
      </x:c>
      <x:c r="C5" s="11" t="str">
        <x:v>BAS-010; WO-78180</x:v>
      </x:c>
      <x:c r="D5" s="11" t="n">
        <x:v>50</x:v>
      </x:c>
      <x:c r="E5" s="11" t="n">
        <x:v>995</x:v>
      </x:c>
      <x:c r="F5" s="11" t="n">
        <x:v>1325</x:v>
      </x:c>
      <x:c r="G5" s="11" t="n">
        <x:v>12.3</x:v>
      </x:c>
      <x:c r="H5" s="11" t="n">
        <x:v>62.4</x:v>
      </x:c>
      <x:c r="I5" s="11" t="n">
        <x:v>3</x:v>
      </x:c>
      <x:c r="J5" s="11" t="n">
        <x:v>19</x:v>
      </x:c>
      <x:c r="K5" s="11" t="str">
        <x:v>visible mist</x:v>
      </x:c>
      <x:c r="L5" s="11" t="str">
        <x:v>ultrasonic meter attached; BAS scale wrong</x:v>
      </x:c>
    </x:row>
    <x:row r="6">
      <x:c r="A6" s="11" t="str">
        <x:v>PFR-005</x:v>
      </x:c>
      <x:c r="B6" s="11" t="str">
        <x:v>2026-05-13 06:30</x:v>
      </x:c>
      <x:c r="C6" s="11" t="str">
        <x:v>BAS-012</x:v>
      </x:c>
      <x:c r="D6" s="11" t="n">
        <x:v>47</x:v>
      </x:c>
      <x:c r="E6" s="11" t="n">
        <x:v>1000</x:v>
      </x:c>
      <x:c r="F6" s="11" t="n">
        <x:v>1310</x:v>
      </x:c>
      <x:c r="G6" s="11" t="n">
        <x:v>12.8</x:v>
      </x:c>
      <x:c r="H6" s="11" t="n">
        <x:v>59</x:v>
      </x:c>
      <x:c r="I6" s="11" t="n">
        <x:v>3</x:v>
      </x:c>
      <x:c r="J6" s="11" t="n">
        <x:v>20</x:v>
      </x:c>
      <x:c r="K6" s="11" t="str">
        <x:v>wet ring</x:v>
      </x:c>
      <x:c r="L6" s="11" t="str">
        <x:v>BAS still pre-correction; strainer DP high</x:v>
      </x:c>
    </x:row>
    <x:row r="7">
      <x:c r="A7" s="11" t="str">
        <x:v>PFR-006</x:v>
      </x:c>
      <x:c r="B7" s="11" t="str">
        <x:v>2026-05-15 10:20</x:v>
      </x:c>
      <x:c r="C7" s="11" t="str">
        <x:v>BAS-015; WO-78188</x:v>
      </x:c>
      <x:c r="D7" s="11" t="n">
        <x:v>50</x:v>
      </x:c>
      <x:c r="E7" s="11" t="n">
        <x:v>1348</x:v>
      </x:c>
      <x:c r="F7" s="11" t="n">
        <x:v>1360</x:v>
      </x:c>
      <x:c r="G7" s="11" t="n">
        <x:v>12.6</x:v>
      </x:c>
      <x:c r="H7" s="11" t="n">
        <x:v>63.7</x:v>
      </x:c>
      <x:c r="I7" s="11" t="n">
        <x:v>3</x:v>
      </x:c>
      <x:c r="J7" s="11" t="n">
        <x:v>20</x:v>
      </x:c>
      <x:c r="K7" s="11" t="str">
        <x:v>wet ring</x:v>
      </x:c>
      <x:c r="L7" s="11" t="str">
        <x:v>post-scaling correction</x:v>
      </x:c>
    </x:row>
    <x:row r="8">
      <x:c r="A8" s="11" t="str">
        <x:v>PFR-007</x:v>
      </x:c>
      <x:c r="B8" s="11" t="str">
        <x:v>2026-05-15 15:20</x:v>
      </x:c>
      <x:c r="C8" s="11" t="str">
        <x:v>BAS-017; WO-78195</x:v>
      </x:c>
      <x:c r="D8" s="11" t="n">
        <x:v>50</x:v>
      </x:c>
      <x:c r="E8" s="11" t="n">
        <x:v>1445</x:v>
      </x:c>
      <x:c r="F8" s="11" t="n">
        <x:v>1458</x:v>
      </x:c>
      <x:c r="G8" s="11" t="n">
        <x:v>13</x:v>
      </x:c>
      <x:c r="H8" s="11" t="n">
        <x:v>64.5</x:v>
      </x:c>
      <x:c r="I8" s="11" t="n">
        <x:v>3</x:v>
      </x:c>
      <x:c r="J8" s="11" t="n">
        <x:v>21</x:v>
      </x:c>
      <x:c r="K8" s="11" t="str">
        <x:v>wet ring</x:v>
      </x:c>
      <x:c r="L8" s="11" t="str">
        <x:v>after strainer clean</x:v>
      </x:c>
    </x:row>
    <x:row r="9">
      <x:c r="A9" s="11" t="str">
        <x:v>PFR-008</x:v>
      </x:c>
      <x:c r="B9" s="11" t="str">
        <x:v>2026-05-17 06:10</x:v>
      </x:c>
      <x:c r="C9" s="11" t="str">
        <x:v>BAS-019</x:v>
      </x:c>
      <x:c r="D9" s="11" t="n">
        <x:v>47</x:v>
      </x:c>
      <x:c r="E9" s="11" t="n">
        <x:v>1195</x:v>
      </x:c>
      <x:c r="F9" s="11" t="str"/>
      <x:c r="G9" s="11" t="n">
        <x:v>12.7</x:v>
      </x:c>
      <x:c r="H9" s="11" t="n">
        <x:v>57.8</x:v>
      </x:c>
      <x:c r="I9" s="11" t="n">
        <x:v>3</x:v>
      </x:c>
      <x:c r="J9" s="11" t="n">
        <x:v>22</x:v>
      </x:c>
      <x:c r="K9" s="11" t="str">
        <x:v>wet ring</x:v>
      </x:c>
      <x:c r="L9" s="11" t="str">
        <x:v>post-scaling; flow remains below curve</x:v>
      </x:c>
    </x:row>
    <x:row r="10">
      <x:c r="A10" s="11" t="str">
        <x:v>PFR-009</x:v>
      </x:c>
      <x:c r="B10" s="11" t="str">
        <x:v>2026-05-18 11:48</x:v>
      </x:c>
      <x:c r="C10" s="11" t="str">
        <x:v>BAS-020</x:v>
      </x:c>
      <x:c r="D10" s="11" t="n">
        <x:v>47</x:v>
      </x:c>
      <x:c r="E10" s="11" t="n">
        <x:v>1210</x:v>
      </x:c>
      <x:c r="F10" s="11" t="str"/>
      <x:c r="G10" s="11" t="n">
        <x:v>12.8</x:v>
      </x:c>
      <x:c r="H10" s="11" t="n">
        <x:v>58.1</x:v>
      </x:c>
      <x:c r="I10" s="11" t="n">
        <x:v>3</x:v>
      </x:c>
      <x:c r="J10" s="11" t="n">
        <x:v>27</x:v>
      </x:c>
      <x:c r="K10" s="11" t="str">
        <x:v>wet ring</x:v>
      </x:c>
      <x:c r="L10" s="11" t="str">
        <x:v>after flush filter replacement; tower approach normal</x:v>
      </x:c>
    </x:row>
  </x:sheetData>
  <x:pageMargins left="0.7" right="0.7" top="0.75" bottom="0.75" header="0.3" footer="0.3"/>
  <x:tableParts count="1">
    <x:tablePart xmlns:r="http://schemas.openxmlformats.org/officeDocument/2006/relationships" r:id="R6a9f997f2a174d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3.75" hidden="0" customWidth="1"/>
    <x:col min="3" max="3" width="12.25" hidden="0" customWidth="1"/>
    <x:col min="4" max="4" width="17.1299991607666" hidden="0" customWidth="1"/>
    <x:col min="5" max="5" width="12.130000114440918" hidden="0" customWidth="1"/>
    <x:col min="6" max="6" width="12.380000114440918" hidden="0" customWidth="1"/>
    <x:col min="7" max="7" width="7.380000114440918" hidden="0" customWidth="1"/>
    <x:col min="8" max="8" width="9.75" hidden="0" customWidth="1"/>
    <x:col min="9" max="9" width="35.25" hidden="0" customWidth="1"/>
  </x:cols>
  <x:sheetData>
    <x:row r="1">
      <x:c r="A1" s="10" t="str">
        <x:v>source_id</x:v>
      </x:c>
      <x:c r="B1" s="10" t="str">
        <x:v>timestamp</x:v>
      </x:c>
      <x:c r="C1" s="10" t="str">
        <x:v>instrument_tag</x:v>
      </x:c>
      <x:c r="D1" s="10" t="str">
        <x:v>loop_card_scale_gpm</x:v>
      </x:c>
      <x:c r="E1" s="10" t="str">
        <x:v>bas_scale_gpm</x:v>
      </x:c>
      <x:c r="F1" s="10" t="str">
        <x:v>ultrasonic_gpm</x:v>
      </x:c>
      <x:c r="G1" s="10" t="str">
        <x:v>bas_gpm</x:v>
      </x:c>
      <x:c r="H1" s="10" t="str">
        <x:v>scale_status</x:v>
      </x:c>
      <x:c r="I1" s="10" t="str">
        <x:v>note</x:v>
      </x:c>
    </x:row>
    <x:row r="2">
      <x:c r="A2" s="11" t="str">
        <x:v>SCALE-001</x:v>
      </x:c>
      <x:c r="B2" s="11" t="str">
        <x:v>2026-05-04 05:48</x:v>
      </x:c>
      <x:c r="C2" s="11" t="str">
        <x:v>FT-CWP3</x:v>
      </x:c>
      <x:c r="D2" s="11" t="n">
        <x:v>1500</x:v>
      </x:c>
      <x:c r="E2" s="11" t="n">
        <x:v>2000</x:v>
      </x:c>
      <x:c r="F2" s="11" t="str"/>
      <x:c r="G2" s="11" t="n">
        <x:v>945</x:v>
      </x:c>
      <x:c r="H2" s="11" t="str">
        <x:v>mismatch</x:v>
      </x:c>
      <x:c r="I2" s="11" t="str">
        <x:v>BAS scale not corrected</x:v>
      </x:c>
    </x:row>
    <x:row r="3">
      <x:c r="A3" s="11" t="str">
        <x:v>SCALE-002</x:v>
      </x:c>
      <x:c r="B3" s="11" t="str">
        <x:v>2026-05-12 10:15</x:v>
      </x:c>
      <x:c r="C3" s="11" t="str">
        <x:v>FT-CWP3</x:v>
      </x:c>
      <x:c r="D3" s="11" t="n">
        <x:v>1500</x:v>
      </x:c>
      <x:c r="E3" s="11" t="n">
        <x:v>2000</x:v>
      </x:c>
      <x:c r="F3" s="11" t="n">
        <x:v>1325</x:v>
      </x:c>
      <x:c r="G3" s="11" t="n">
        <x:v>995</x:v>
      </x:c>
      <x:c r="H3" s="11" t="str">
        <x:v>mismatch</x:v>
      </x:c>
      <x:c r="I3" s="11" t="str">
        <x:v>Ultrasonic check demonstrates underreporting</x:v>
      </x:c>
    </x:row>
    <x:row r="4">
      <x:c r="A4" s="11" t="str">
        <x:v>SCALE-003</x:v>
      </x:c>
      <x:c r="B4" s="11" t="str">
        <x:v>2026-05-15 09:45</x:v>
      </x:c>
      <x:c r="C4" s="11" t="str">
        <x:v>FT-CWP3</x:v>
      </x:c>
      <x:c r="D4" s="11" t="n">
        <x:v>1500</x:v>
      </x:c>
      <x:c r="E4" s="11" t="n">
        <x:v>2000</x:v>
      </x:c>
      <x:c r="F4" s="11" t="n">
        <x:v>1340</x:v>
      </x:c>
      <x:c r="G4" s="11" t="n">
        <x:v>1008</x:v>
      </x:c>
      <x:c r="H4" s="11" t="str">
        <x:v>mismatch</x:v>
      </x:c>
      <x:c r="I4" s="11" t="str">
        <x:v>Before BAS correction</x:v>
      </x:c>
    </x:row>
    <x:row r="5">
      <x:c r="A5" s="11" t="str">
        <x:v>SCALE-004</x:v>
      </x:c>
      <x:c r="B5" s="11" t="str">
        <x:v>2026-05-15 10:20</x:v>
      </x:c>
      <x:c r="C5" s="11" t="str">
        <x:v>FT-CWP3</x:v>
      </x:c>
      <x:c r="D5" s="11" t="n">
        <x:v>1500</x:v>
      </x:c>
      <x:c r="E5" s="11" t="n">
        <x:v>1500</x:v>
      </x:c>
      <x:c r="F5" s="11" t="n">
        <x:v>1360</x:v>
      </x:c>
      <x:c r="G5" s="11" t="n">
        <x:v>1348</x:v>
      </x:c>
      <x:c r="H5" s="11" t="str">
        <x:v>corrected</x:v>
      </x:c>
      <x:c r="I5" s="11" t="str">
        <x:v>After WO-78188</x:v>
      </x:c>
    </x:row>
    <x:row r="6">
      <x:c r="A6" s="11" t="str">
        <x:v>SCALE-005</x:v>
      </x:c>
      <x:c r="B6" s="11" t="str">
        <x:v>2026-05-17 06:10</x:v>
      </x:c>
      <x:c r="C6" s="11" t="str">
        <x:v>FT-CWP3</x:v>
      </x:c>
      <x:c r="D6" s="11" t="n">
        <x:v>1500</x:v>
      </x:c>
      <x:c r="E6" s="11" t="n">
        <x:v>1500</x:v>
      </x:c>
      <x:c r="F6" s="11" t="str"/>
      <x:c r="G6" s="11" t="n">
        <x:v>1195</x:v>
      </x:c>
      <x:c r="H6" s="11" t="str">
        <x:v>corrected</x:v>
      </x:c>
      <x:c r="I6" s="11" t="str">
        <x:v>Use BAS directly after correction</x:v>
      </x:c>
    </x:row>
  </x:sheetData>
  <x:pageMargins left="0.7" right="0.7" top="0.75" bottom="0.75" header="0.3" footer="0.3"/>
  <x:tableParts count="1">
    <x:tablePart xmlns:r="http://schemas.openxmlformats.org/officeDocument/2006/relationships" r:id="Re4655f5c6b5941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3.75" hidden="0" customWidth="1"/>
    <x:col min="3" max="3" width="5.630000114440918" hidden="0" customWidth="1"/>
    <x:col min="4" max="4" width="9.130000114440918" hidden="0" customWidth="1"/>
    <x:col min="5" max="5" width="10.880000114440918" hidden="0" customWidth="1"/>
    <x:col min="6" max="6" width="10.630000114440918" hidden="0" customWidth="1"/>
    <x:col min="7" max="7" width="12.130000114440918" hidden="0" customWidth="1"/>
    <x:col min="8" max="8" width="15.75" hidden="0" customWidth="1"/>
    <x:col min="9" max="9" width="43.25" hidden="0" customWidth="1"/>
  </x:cols>
  <x:sheetData>
    <x:row r="1">
      <x:c r="A1" s="16" t="str">
        <x:v>source_id</x:v>
      </x:c>
      <x:c r="B1" s="16" t="str">
        <x:v>timestamp</x:v>
      </x:c>
      <x:c r="C1" s="16" t="str">
        <x:v>vfd_hz</x:v>
      </x:c>
      <x:c r="D1" s="16" t="str">
        <x:v>suction_psi</x:v>
      </x:c>
      <x:c r="E1" s="16" t="str">
        <x:v>discharge_psi</x:v>
      </x:c>
      <x:c r="F1" s="16" t="str">
        <x:v>elev_delta_ft</x:v>
      </x:c>
      <x:c r="G1" s="16" t="str">
        <x:v>tdh_ft_formula</x:v>
      </x:c>
      <x:c r="H1" s="16" t="str">
        <x:v>source_trace</x:v>
      </x:c>
      <x:c r="I1" s="16" t="str">
        <x:v>tdh_note</x:v>
      </x:c>
      <x:c r="J1" s="22"/>
      <x:c r="K1" s="22"/>
      <x:c r="L1" s="22"/>
    </x:row>
    <x:row r="2">
      <x:c r="A2" s="11" t="str">
        <x:v>TDH-001</x:v>
      </x:c>
      <x:c r="B2" s="11" t="str">
        <x:v>2026-05-04 05:48</x:v>
      </x:c>
      <x:c r="C2" s="11" t="n">
        <x:v>47</x:v>
      </x:c>
      <x:c r="D2" s="11" t="n">
        <x:v>12.1</x:v>
      </x:c>
      <x:c r="E2" s="11" t="n">
        <x:v>58.6</x:v>
      </x:c>
      <x:c r="F2" s="11" t="n">
        <x:v>3</x:v>
      </x:c>
      <x:c r="G2" s="14" t="n">
        <x:f>(E2-D2)*2.31+F2</x:f>
        <x:v>110.415</x:v>
      </x:c>
      <x:c r="H2" s="11" t="str">
        <x:v>BAS-002</x:v>
      </x:c>
      <x:c r="I2" s="11" t="str">
        <x:v>TDH = (discharge psi - suction psi) * 2.31 + elevation delta</x:v>
      </x:c>
      <x:c r="J2" s="11"/>
      <x:c r="K2" s="11"/>
      <x:c r="L2" s="11"/>
    </x:row>
    <x:row r="3">
      <x:c r="A3" s="11" t="str">
        <x:v>TDH-002</x:v>
      </x:c>
      <x:c r="B3" s="11" t="str">
        <x:v>2026-05-06 07:25</x:v>
      </x:c>
      <x:c r="C3" s="11" t="n">
        <x:v>47</x:v>
      </x:c>
      <x:c r="D3" s="11" t="n">
        <x:v>11.8</x:v>
      </x:c>
      <x:c r="E3" s="11" t="n">
        <x:v>56.9</x:v>
      </x:c>
      <x:c r="F3" s="11" t="n">
        <x:v>3</x:v>
      </x:c>
      <x:c r="G3" s="14" t="n">
        <x:f>(E3-D3)*2.31+F3</x:f>
        <x:v>107.18099999999998</x:v>
      </x:c>
      <x:c r="H3" s="11" t="str">
        <x:v>BAS-003</x:v>
      </x:c>
      <x:c r="I3" s="11" t="str">
        <x:v>TDH = (discharge psi - suction psi) * 2.31 + elevation delta</x:v>
      </x:c>
      <x:c r="J3" s="11"/>
      <x:c r="K3" s="11"/>
      <x:c r="L3" s="11"/>
    </x:row>
    <x:row r="4">
      <x:c r="A4" s="11" t="str">
        <x:v>TDH-003</x:v>
      </x:c>
      <x:c r="B4" s="11" t="str">
        <x:v>2026-05-10 18:10</x:v>
      </x:c>
      <x:c r="C4" s="11" t="n">
        <x:v>47</x:v>
      </x:c>
      <x:c r="D4" s="11" t="n">
        <x:v>12.1</x:v>
      </x:c>
      <x:c r="E4" s="11" t="n">
        <x:v>57.6</x:v>
      </x:c>
      <x:c r="F4" s="11" t="n">
        <x:v>3</x:v>
      </x:c>
      <x:c r="G4" s="14" t="n">
        <x:f>(E4-D4)*2.31+F4</x:f>
        <x:v>108.105</x:v>
      </x:c>
      <x:c r="H4" s="11" t="str">
        <x:v>BAS-008</x:v>
      </x:c>
      <x:c r="I4" s="11" t="str">
        <x:v>TDH = (discharge psi - suction psi) * 2.31 + elevation delta</x:v>
      </x:c>
      <x:c r="J4" s="11"/>
      <x:c r="K4" s="11"/>
      <x:c r="L4" s="11"/>
    </x:row>
    <x:row r="5">
      <x:c r="A5" s="11" t="str">
        <x:v>TDH-004</x:v>
      </x:c>
      <x:c r="B5" s="11" t="str">
        <x:v>2026-05-12 10:15</x:v>
      </x:c>
      <x:c r="C5" s="11" t="n">
        <x:v>50</x:v>
      </x:c>
      <x:c r="D5" s="11" t="n">
        <x:v>12.3</x:v>
      </x:c>
      <x:c r="E5" s="11" t="n">
        <x:v>62.4</x:v>
      </x:c>
      <x:c r="F5" s="11" t="n">
        <x:v>3</x:v>
      </x:c>
      <x:c r="G5" s="14" t="n">
        <x:f>(E5-D5)*2.31+F5</x:f>
        <x:v>118.731</x:v>
      </x:c>
      <x:c r="H5" s="11" t="str">
        <x:v>BAS-010; WO-78180</x:v>
      </x:c>
      <x:c r="I5" s="11" t="str">
        <x:v>TDH = (discharge psi - suction psi) * 2.31 + elevation delta</x:v>
      </x:c>
      <x:c r="J5" s="11"/>
      <x:c r="K5" s="11"/>
      <x:c r="L5" s="11"/>
    </x:row>
    <x:row r="6">
      <x:c r="A6" s="11" t="str">
        <x:v>TDH-005</x:v>
      </x:c>
      <x:c r="B6" s="11" t="str">
        <x:v>2026-05-13 06:30</x:v>
      </x:c>
      <x:c r="C6" s="11" t="n">
        <x:v>47</x:v>
      </x:c>
      <x:c r="D6" s="11" t="n">
        <x:v>12.8</x:v>
      </x:c>
      <x:c r="E6" s="11" t="n">
        <x:v>59</x:v>
      </x:c>
      <x:c r="F6" s="11" t="n">
        <x:v>3</x:v>
      </x:c>
      <x:c r="G6" s="14" t="n">
        <x:f>(E6-D6)*2.31+F6</x:f>
        <x:v>109.72200000000001</x:v>
      </x:c>
      <x:c r="H6" s="11" t="str">
        <x:v>BAS-012</x:v>
      </x:c>
      <x:c r="I6" s="11" t="str">
        <x:v>TDH = (discharge psi - suction psi) * 2.31 + elevation delta</x:v>
      </x:c>
      <x:c r="J6" s="11"/>
      <x:c r="K6" s="11"/>
      <x:c r="L6" s="11"/>
    </x:row>
    <x:row r="7">
      <x:c r="A7" s="11" t="str">
        <x:v>TDH-006</x:v>
      </x:c>
      <x:c r="B7" s="11" t="str">
        <x:v>2026-05-15 10:20</x:v>
      </x:c>
      <x:c r="C7" s="11" t="n">
        <x:v>50</x:v>
      </x:c>
      <x:c r="D7" s="11" t="n">
        <x:v>12.6</x:v>
      </x:c>
      <x:c r="E7" s="11" t="n">
        <x:v>63.7</x:v>
      </x:c>
      <x:c r="F7" s="11" t="n">
        <x:v>3</x:v>
      </x:c>
      <x:c r="G7" s="14" t="n">
        <x:f>(E7-D7)*2.31+F7</x:f>
        <x:v>121.04100000000001</x:v>
      </x:c>
      <x:c r="H7" s="11" t="str">
        <x:v>BAS-015; WO-78188</x:v>
      </x:c>
      <x:c r="I7" s="11" t="str">
        <x:v>TDH = (discharge psi - suction psi) * 2.31 + elevation delta</x:v>
      </x:c>
      <x:c r="J7" s="11"/>
      <x:c r="K7" s="11"/>
      <x:c r="L7" s="11"/>
    </x:row>
    <x:row r="8">
      <x:c r="A8" s="11" t="str">
        <x:v>TDH-007</x:v>
      </x:c>
      <x:c r="B8" s="11" t="str">
        <x:v>2026-05-15 15:20</x:v>
      </x:c>
      <x:c r="C8" s="11" t="n">
        <x:v>50</x:v>
      </x:c>
      <x:c r="D8" s="11" t="n">
        <x:v>13</x:v>
      </x:c>
      <x:c r="E8" s="11" t="n">
        <x:v>64.5</x:v>
      </x:c>
      <x:c r="F8" s="11" t="n">
        <x:v>3</x:v>
      </x:c>
      <x:c r="G8" s="14" t="n">
        <x:f>(E8-D8)*2.31+F8</x:f>
        <x:v>121.965</x:v>
      </x:c>
      <x:c r="H8" s="11" t="str">
        <x:v>BAS-017; WO-78195</x:v>
      </x:c>
      <x:c r="I8" s="11" t="str">
        <x:v>TDH = (discharge psi - suction psi) * 2.31 + elevation delta</x:v>
      </x:c>
      <x:c r="J8" s="11"/>
      <x:c r="K8" s="11"/>
      <x:c r="L8" s="11"/>
    </x:row>
    <x:row r="9">
      <x:c r="A9" s="11" t="str">
        <x:v>TDH-008</x:v>
      </x:c>
      <x:c r="B9" s="11" t="str">
        <x:v>2026-05-17 06:10</x:v>
      </x:c>
      <x:c r="C9" s="11" t="n">
        <x:v>47</x:v>
      </x:c>
      <x:c r="D9" s="11" t="n">
        <x:v>12.7</x:v>
      </x:c>
      <x:c r="E9" s="11" t="n">
        <x:v>57.8</x:v>
      </x:c>
      <x:c r="F9" s="11" t="n">
        <x:v>3</x:v>
      </x:c>
      <x:c r="G9" s="14" t="n">
        <x:f>(E9-D9)*2.31+F9</x:f>
        <x:v>107.18099999999998</x:v>
      </x:c>
      <x:c r="H9" s="11" t="str">
        <x:v>BAS-019</x:v>
      </x:c>
      <x:c r="I9" s="11" t="str">
        <x:v>TDH = (discharge psi - suction psi) * 2.31 + elevation delta</x:v>
      </x:c>
      <x:c r="J9" s="11"/>
      <x:c r="K9" s="11"/>
      <x:c r="L9" s="11"/>
    </x:row>
    <x:row r="10">
      <x:c r="A10" s="11" t="str">
        <x:v>TDH-009</x:v>
      </x:c>
      <x:c r="B10" s="11" t="str">
        <x:v>2026-05-18 11:48</x:v>
      </x:c>
      <x:c r="C10" s="11" t="n">
        <x:v>47</x:v>
      </x:c>
      <x:c r="D10" s="11" t="n">
        <x:v>12.8</x:v>
      </x:c>
      <x:c r="E10" s="11" t="n">
        <x:v>58.1</x:v>
      </x:c>
      <x:c r="F10" s="11" t="n">
        <x:v>3</x:v>
      </x:c>
      <x:c r="G10" s="14" t="n">
        <x:f>(E10-D10)*2.31+F10</x:f>
        <x:v>107.643</x:v>
      </x:c>
      <x:c r="H10" s="11" t="str">
        <x:v>BAS-020</x:v>
      </x:c>
      <x:c r="I10" s="11" t="str">
        <x:v>TDH = (discharge psi - suction psi) * 2.31 + elevation delta</x:v>
      </x:c>
      <x:c r="J10" s="11"/>
      <x:c r="K10" s="11"/>
      <x:c r="L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</x:sheetData>
  <x:pageMargins left="0.7" right="0.7" top="0.75" bottom="0.75" header="0.3" footer="0.3"/>
  <x:tableParts count="1">
    <x:tablePart xmlns:r="http://schemas.openxmlformats.org/officeDocument/2006/relationships" r:id="R6ce0719dec304f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9.75" hidden="0" customWidth="1"/>
    <x:col min="3" max="3" width="5.630000114440918" hidden="0" customWidth="1"/>
    <x:col min="4" max="4" width="16.6299991607666" hidden="0" customWidth="1"/>
    <x:col min="5" max="5" width="20.3799991607666" hidden="0" customWidth="1"/>
    <x:col min="6" max="6" width="13.75" hidden="0" customWidth="1"/>
    <x:col min="7" max="7" width="20.75" hidden="0" customWidth="1"/>
    <x:col min="8" max="8" width="19.3799991607666" hidden="0" customWidth="1"/>
    <x:col min="9" max="9" width="13.630000114440918" hidden="0" customWidth="1"/>
    <x:col min="10" max="10" width="5.130000114440918" hidden="0" customWidth="1"/>
    <x:col min="11" max="11" width="15.75" hidden="0" customWidth="1"/>
  </x:cols>
  <x:sheetData>
    <x:row r="1">
      <x:c r="A1" s="16" t="str">
        <x:v>source_id</x:v>
      </x:c>
      <x:c r="B1" s="16" t="str">
        <x:v>field_record</x:v>
      </x:c>
      <x:c r="C1" s="16" t="str">
        <x:v>vfd_hz</x:v>
      </x:c>
      <x:c r="D1" s="16" t="str">
        <x:v>measured_flow_gpm</x:v>
      </x:c>
      <x:c r="E1" s="16" t="str">
        <x:v>normalized_flow_to_50hz</x:v>
      </x:c>
      <x:c r="F1" s="16" t="str">
        <x:v>measured_tdh_ft</x:v>
      </x:c>
      <x:c r="G1" s="16" t="str">
        <x:v>normalized_head_to_50hz</x:v>
      </x:c>
      <x:c r="H1" s="16" t="str">
        <x:v>curve_expected_head_ft</x:v>
      </x:c>
      <x:c r="I1" s="16" t="str">
        <x:v>head_shortfall_ft</x:v>
      </x:c>
      <x:c r="J1" s="16" t="str">
        <x:v>status</x:v>
      </x:c>
      <x:c r="K1" s="16" t="str">
        <x:v>trace</x:v>
      </x:c>
      <x:c r="L1" s="22"/>
    </x:row>
    <x:row r="2">
      <x:c r="A2" s="11" t="str">
        <x:v>NORM-001</x:v>
      </x:c>
      <x:c r="B2" s="11" t="str">
        <x:v>PFR-001</x:v>
      </x:c>
      <x:c r="C2" s="11" t="n">
        <x:v>47</x:v>
      </x:c>
      <x:c r="D2" s="11" t="n">
        <x:v>945</x:v>
      </x:c>
      <x:c r="E2" s="14" t="n">
        <x:f>D2*(50/C2)</x:f>
        <x:v>1005.3191489361702</x:v>
      </x:c>
      <x:c r="F2" s="14" t="n">
        <x:f>TDH_Check!G2</x:f>
        <x:v>110.415</x:v>
      </x:c>
      <x:c r="G2" s="14" t="n">
        <x:f>F2*(50/C2)^2</x:f>
        <x:v>124.96038931643277</x:v>
      </x:c>
      <x:c r="H2" s="14" t="n">
        <x:f>FORECAST.LINEAR(E2,Curve_Data!$D$2:$D$7,Curve_Data!$C$2:$C$7)</x:f>
        <x:v>134.29088145896657</x:v>
      </x:c>
      <x:c r="I2" s="14" t="n">
        <x:f>H2-G2</x:f>
        <x:v>9.3304921425338</x:v>
      </x:c>
      <x:c r="J2" s="14" t="str">
        <x:f>IF(I2&gt;10,"Below curve","Near curve")</x:f>
        <x:v>Near curve</x:v>
      </x:c>
      <x:c r="K2" s="11" t="str">
        <x:v>BAS-002</x:v>
      </x:c>
      <x:c r="L2" s="11"/>
    </x:row>
    <x:row r="3">
      <x:c r="A3" s="11" t="str">
        <x:v>NORM-002</x:v>
      </x:c>
      <x:c r="B3" s="11" t="str">
        <x:v>PFR-002</x:v>
      </x:c>
      <x:c r="C3" s="11" t="n">
        <x:v>47</x:v>
      </x:c>
      <x:c r="D3" s="11" t="n">
        <x:v>910</x:v>
      </x:c>
      <x:c r="E3" s="14" t="n">
        <x:f>D3*(50/C3)</x:f>
        <x:v>968.0851063829787</x:v>
      </x:c>
      <x:c r="F3" s="14" t="n">
        <x:f>TDH_Check!G3</x:f>
        <x:v>107.18099999999998</x:v>
      </x:c>
      <x:c r="G3" s="14" t="n">
        <x:f>F3*(50/C3)^2</x:f>
        <x:v>121.30036215482114</x:v>
      </x:c>
      <x:c r="H3" s="14" t="n">
        <x:f>FORECAST.LINEAR(E3,Curve_Data!$D$2:$D$7,Curve_Data!$C$2:$C$7)</x:f>
        <x:v>136.85471124620062</x:v>
      </x:c>
      <x:c r="I3" s="14" t="n">
        <x:f>H3-G3</x:f>
        <x:v>15.554349091379478</x:v>
      </x:c>
      <x:c r="J3" s="14" t="str">
        <x:f>IF(I3&gt;10,"Below curve","Near curve")</x:f>
        <x:v>Below curve</x:v>
      </x:c>
      <x:c r="K3" s="11" t="str">
        <x:v>BAS-003</x:v>
      </x:c>
      <x:c r="L3" s="11"/>
    </x:row>
    <x:row r="4">
      <x:c r="A4" s="11" t="str">
        <x:v>NORM-003</x:v>
      </x:c>
      <x:c r="B4" s="11" t="str">
        <x:v>PFR-003</x:v>
      </x:c>
      <x:c r="C4" s="11" t="n">
        <x:v>47</x:v>
      </x:c>
      <x:c r="D4" s="11" t="n">
        <x:v>955</x:v>
      </x:c>
      <x:c r="E4" s="14" t="n">
        <x:f>D4*(50/C4)</x:f>
        <x:v>1015.9574468085107</x:v>
      </x:c>
      <x:c r="F4" s="14" t="n">
        <x:f>TDH_Check!G4</x:f>
        <x:v>108.105</x:v>
      </x:c>
      <x:c r="G4" s="14" t="n">
        <x:f>F4*(50/C4)^2</x:f>
        <x:v>122.34608420099592</x:v>
      </x:c>
      <x:c r="H4" s="14" t="n">
        <x:f>FORECAST.LINEAR(E4,Curve_Data!$D$2:$D$7,Curve_Data!$C$2:$C$7)</x:f>
        <x:v>133.55835866261395</x:v>
      </x:c>
      <x:c r="I4" s="14" t="n">
        <x:f>H4-G4</x:f>
        <x:v>11.212274461618037</x:v>
      </x:c>
      <x:c r="J4" s="14" t="str">
        <x:f>IF(I4&gt;10,"Below curve","Near curve")</x:f>
        <x:v>Below curve</x:v>
      </x:c>
      <x:c r="K4" s="11" t="str">
        <x:v>BAS-008</x:v>
      </x:c>
      <x:c r="L4" s="11"/>
    </x:row>
    <x:row r="5">
      <x:c r="A5" s="11" t="str">
        <x:v>NORM-004</x:v>
      </x:c>
      <x:c r="B5" s="11" t="str">
        <x:v>PFR-004</x:v>
      </x:c>
      <x:c r="C5" s="11" t="n">
        <x:v>50</x:v>
      </x:c>
      <x:c r="D5" s="11" t="n">
        <x:v>1325</x:v>
      </x:c>
      <x:c r="E5" s="14" t="n">
        <x:f>D5*(50/C5)</x:f>
        <x:v>1325</x:v>
      </x:c>
      <x:c r="F5" s="14" t="n">
        <x:f>TDH_Check!G5</x:f>
        <x:v>118.731</x:v>
      </x:c>
      <x:c r="G5" s="14" t="n">
        <x:f>F5*(50/C5)^2</x:f>
        <x:v>118.731</x:v>
      </x:c>
      <x:c r="H5" s="14" t="n">
        <x:f>FORECAST.LINEAR(E5,Curve_Data!$D$2:$D$7,Curve_Data!$C$2:$C$7)</x:f>
        <x:v>112.27857142857142</x:v>
      </x:c>
      <x:c r="I5" s="14" t="n">
        <x:f>H5-G5</x:f>
        <x:v>-6.45242857142857</x:v>
      </x:c>
      <x:c r="J5" s="14" t="str">
        <x:f>IF(I5&gt;10,"Below curve","Near curve")</x:f>
        <x:v>Near curve</x:v>
      </x:c>
      <x:c r="K5" s="11" t="str">
        <x:v>BAS-010; WO-78180</x:v>
      </x:c>
      <x:c r="L5" s="11"/>
    </x:row>
    <x:row r="6">
      <x:c r="A6" s="11" t="str">
        <x:v>NORM-005</x:v>
      </x:c>
      <x:c r="B6" s="11" t="str">
        <x:v>PFR-005</x:v>
      </x:c>
      <x:c r="C6" s="11" t="n">
        <x:v>47</x:v>
      </x:c>
      <x:c r="D6" s="11" t="n">
        <x:v>1310</x:v>
      </x:c>
      <x:c r="E6" s="14" t="n">
        <x:f>D6*(50/C6)</x:f>
        <x:v>1393.6170212765958</x:v>
      </x:c>
      <x:c r="F6" s="14" t="n">
        <x:f>TDH_Check!G6</x:f>
        <x:v>109.72200000000001</x:v>
      </x:c>
      <x:c r="G6" s="14" t="n">
        <x:f>F6*(50/C6)^2</x:f>
        <x:v>124.17609778180172</x:v>
      </x:c>
      <x:c r="H6" s="14" t="n">
        <x:f>FORECAST.LINEAR(E6,Curve_Data!$D$2:$D$7,Curve_Data!$C$2:$C$7)</x:f>
        <x:v>107.55379939209726</x:v>
      </x:c>
      <x:c r="I6" s="14" t="n">
        <x:f>H6-G6</x:f>
        <x:v>-16.622298389704454</x:v>
      </x:c>
      <x:c r="J6" s="14" t="str">
        <x:f>IF(I6&gt;10,"Below curve","Near curve")</x:f>
        <x:v>Near curve</x:v>
      </x:c>
      <x:c r="K6" s="11" t="str">
        <x:v>BAS-012</x:v>
      </x:c>
      <x:c r="L6" s="11"/>
    </x:row>
    <x:row r="7">
      <x:c r="A7" s="11" t="str">
        <x:v>NORM-006</x:v>
      </x:c>
      <x:c r="B7" s="11" t="str">
        <x:v>PFR-006</x:v>
      </x:c>
      <x:c r="C7" s="11" t="n">
        <x:v>50</x:v>
      </x:c>
      <x:c r="D7" s="11" t="n">
        <x:v>1360</x:v>
      </x:c>
      <x:c r="E7" s="14" t="n">
        <x:f>D7*(50/C7)</x:f>
        <x:v>1360</x:v>
      </x:c>
      <x:c r="F7" s="14" t="n">
        <x:f>TDH_Check!G7</x:f>
        <x:v>121.04100000000001</x:v>
      </x:c>
      <x:c r="G7" s="14" t="n">
        <x:f>F7*(50/C7)^2</x:f>
        <x:v>121.04100000000001</x:v>
      </x:c>
      <x:c r="H7" s="14" t="n">
        <x:f>FORECAST.LINEAR(E7,Curve_Data!$D$2:$D$7,Curve_Data!$C$2:$C$7)</x:f>
        <x:v>109.86857142857143</x:v>
      </x:c>
      <x:c r="I7" s="14" t="n">
        <x:f>H7-G7</x:f>
        <x:v>-11.172428571428583</x:v>
      </x:c>
      <x:c r="J7" s="14" t="str">
        <x:f>IF(I7&gt;10,"Below curve","Near curve")</x:f>
        <x:v>Near curve</x:v>
      </x:c>
      <x:c r="K7" s="11" t="str">
        <x:v>BAS-015; WO-78188</x:v>
      </x:c>
      <x:c r="L7" s="11"/>
    </x:row>
    <x:row r="8">
      <x:c r="A8" s="11" t="str">
        <x:v>NORM-007</x:v>
      </x:c>
      <x:c r="B8" s="11" t="str">
        <x:v>PFR-007</x:v>
      </x:c>
      <x:c r="C8" s="11" t="n">
        <x:v>50</x:v>
      </x:c>
      <x:c r="D8" s="11" t="n">
        <x:v>1458</x:v>
      </x:c>
      <x:c r="E8" s="14" t="n">
        <x:f>D8*(50/C8)</x:f>
        <x:v>1458</x:v>
      </x:c>
      <x:c r="F8" s="14" t="n">
        <x:f>TDH_Check!G8</x:f>
        <x:v>121.965</x:v>
      </x:c>
      <x:c r="G8" s="14" t="n">
        <x:f>F8*(50/C8)^2</x:f>
        <x:v>121.965</x:v>
      </x:c>
      <x:c r="H8" s="14" t="n">
        <x:f>FORECAST.LINEAR(E8,Curve_Data!$D$2:$D$7,Curve_Data!$C$2:$C$7)</x:f>
        <x:v>103.12057142857142</x:v>
      </x:c>
      <x:c r="I8" s="14" t="n">
        <x:f>H8-G8</x:f>
        <x:v>-18.84442857142858</x:v>
      </x:c>
      <x:c r="J8" s="14" t="str">
        <x:f>IF(I8&gt;10,"Below curve","Near curve")</x:f>
        <x:v>Near curve</x:v>
      </x:c>
      <x:c r="K8" s="11" t="str">
        <x:v>BAS-017; WO-78195</x:v>
      </x:c>
      <x:c r="L8" s="11"/>
    </x:row>
    <x:row r="9">
      <x:c r="A9" s="11" t="str">
        <x:v>NORM-008</x:v>
      </x:c>
      <x:c r="B9" s="11" t="str">
        <x:v>PFR-008</x:v>
      </x:c>
      <x:c r="C9" s="11" t="n">
        <x:v>47</x:v>
      </x:c>
      <x:c r="D9" s="11" t="n">
        <x:v>1195</x:v>
      </x:c>
      <x:c r="E9" s="14" t="n">
        <x:f>D9*(50/C9)</x:f>
        <x:v>1271.276595744681</x:v>
      </x:c>
      <x:c r="F9" s="14" t="n">
        <x:f>TDH_Check!G9</x:f>
        <x:v>107.18099999999998</x:v>
      </x:c>
      <x:c r="G9" s="14" t="n">
        <x:f>F9*(50/C9)^2</x:f>
        <x:v>121.30036215482114</x:v>
      </x:c>
      <x:c r="H9" s="14" t="n">
        <x:f>FORECAST.LINEAR(E9,Curve_Data!$D$2:$D$7,Curve_Data!$C$2:$C$7)</x:f>
        <x:v>115.97781155015197</x:v>
      </x:c>
      <x:c r="I9" s="14" t="n">
        <x:f>H9-G9</x:f>
        <x:v>-5.322550604669175</x:v>
      </x:c>
      <x:c r="J9" s="14" t="str">
        <x:f>IF(I9&gt;10,"Below curve","Near curve")</x:f>
        <x:v>Near curve</x:v>
      </x:c>
      <x:c r="K9" s="11" t="str">
        <x:v>BAS-019</x:v>
      </x:c>
      <x:c r="L9" s="11"/>
    </x:row>
    <x:row r="10">
      <x:c r="A10" s="11" t="str">
        <x:v>NORM-009</x:v>
      </x:c>
      <x:c r="B10" s="11" t="str">
        <x:v>PFR-009</x:v>
      </x:c>
      <x:c r="C10" s="11" t="n">
        <x:v>47</x:v>
      </x:c>
      <x:c r="D10" s="11" t="n">
        <x:v>1210</x:v>
      </x:c>
      <x:c r="E10" s="14" t="n">
        <x:f>D10*(50/C10)</x:f>
        <x:v>1287.2340425531916</x:v>
      </x:c>
      <x:c r="F10" s="14" t="n">
        <x:f>TDH_Check!G10</x:f>
        <x:v>107.643</x:v>
      </x:c>
      <x:c r="G10" s="14" t="n">
        <x:f>F10*(50/C10)^2</x:f>
        <x:v>121.82322317790855</x:v>
      </x:c>
      <x:c r="H10" s="14" t="n">
        <x:f>FORECAST.LINEAR(E10,Curve_Data!$D$2:$D$7,Curve_Data!$C$2:$C$7)</x:f>
        <x:v>114.8790273556231</x:v>
      </x:c>
      <x:c r="I10" s="14" t="n">
        <x:f>H10-G10</x:f>
        <x:v>-6.944195822285451</x:v>
      </x:c>
      <x:c r="J10" s="14" t="str">
        <x:f>IF(I10&gt;10,"Below curve","Near curve")</x:f>
        <x:v>Near curve</x:v>
      </x:c>
      <x:c r="K10" s="11" t="str">
        <x:v>BAS-020</x:v>
      </x:c>
      <x:c r="L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</x:sheetData>
  <x:pageMargins left="0.7" right="0.7" top="0.75" bottom="0.75" header="0.3" footer="0.3"/>
  <x:tableParts count="1">
    <x:tablePart xmlns:r="http://schemas.openxmlformats.org/officeDocument/2006/relationships" r:id="R8e5e8ff4fdcf49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3.75" hidden="0" customWidth="1"/>
    <x:col min="3" max="3" width="5.630000114440918" hidden="0" customWidth="1"/>
    <x:col min="4" max="4" width="10.880000114440918" hidden="0" customWidth="1"/>
    <x:col min="5" max="5" width="13.25" hidden="0" customWidth="1"/>
    <x:col min="6" max="6" width="12.380000114440918" hidden="0" customWidth="1"/>
    <x:col min="7" max="7" width="12.630000114440918" hidden="0" customWidth="1"/>
    <x:col min="8" max="8" width="13" hidden="0" customWidth="1"/>
    <x:col min="9" max="9" width="10.380000114440918" hidden="0" customWidth="1"/>
    <x:col min="10" max="10" width="34.130001068115234" hidden="0" customWidth="1"/>
  </x:cols>
  <x:sheetData>
    <x:row r="1">
      <x:c r="A1" s="16" t="str">
        <x:v>source_id</x:v>
      </x:c>
      <x:c r="B1" s="16" t="str">
        <x:v>timestamp</x:v>
      </x:c>
      <x:c r="C1" s="16" t="str">
        <x:v>vfd_hz</x:v>
      </x:c>
      <x:c r="D1" s="16" t="str">
        <x:v>upstream_psi</x:v>
      </x:c>
      <x:c r="E1" s="16" t="str">
        <x:v>downstream_psi</x:v>
      </x:c>
      <x:c r="F1" s="16" t="str">
        <x:v>strainer_dp_psi</x:v>
      </x:c>
      <x:c r="G1" s="16" t="str">
        <x:v>oem_action_psi</x:v>
      </x:c>
      <x:c r="H1" s="16" t="str">
        <x:v>status</x:v>
      </x:c>
      <x:c r="I1" s="16" t="str">
        <x:v>source_trace</x:v>
      </x:c>
      <x:c r="J1" s="16" t="str">
        <x:v>note</x:v>
      </x:c>
      <x:c r="K1" s="22"/>
      <x:c r="L1" s="22"/>
    </x:row>
    <x:row r="2">
      <x:c r="A2" s="11" t="str">
        <x:v>STRDP-001</x:v>
      </x:c>
      <x:c r="B2" s="11" t="str">
        <x:v>2026-05-04 05:35</x:v>
      </x:c>
      <x:c r="C2" s="11" t="n">
        <x:v>47</x:v>
      </x:c>
      <x:c r="D2" s="11" t="str"/>
      <x:c r="E2" s="11" t="str"/>
      <x:c r="F2" s="14" t="str">
        <x:f>IF(OR(D2="",E2=""),"",D2-E2)</x:f>
      </x:c>
      <x:c r="G2" s="11" t="n">
        <x:v>5</x:v>
      </x:c>
      <x:c r="H2" s="11" t="str">
        <x:f>IF(F2="","No measured DP",IF(F2&gt;G2,"Action","Monitor"))</x:f>
        <x:v>No measured DP</x:v>
      </x:c>
      <x:c r="I2" s="11" t="str">
        <x:v>BAS-001</x:v>
      </x:c>
      <x:c r="J2" s="11" t="str">
        <x:v>Both pressure points not installed</x:v>
      </x:c>
      <x:c r="K2" s="11"/>
      <x:c r="L2" s="11"/>
    </x:row>
    <x:row r="3">
      <x:c r="A3" s="11" t="str">
        <x:v>STRDP-002</x:v>
      </x:c>
      <x:c r="B3" s="11" t="str">
        <x:v>2026-05-04 05:48</x:v>
      </x:c>
      <x:c r="C3" s="11" t="n">
        <x:v>47</x:v>
      </x:c>
      <x:c r="D3" s="11" t="str"/>
      <x:c r="E3" s="11" t="str"/>
      <x:c r="F3" s="14" t="str">
        <x:f>IF(OR(D3="",E3=""),"",D3-E3)</x:f>
      </x:c>
      <x:c r="G3" s="11" t="n">
        <x:v>5</x:v>
      </x:c>
      <x:c r="H3" s="11" t="str">
        <x:f>IF(F3="","No measured DP",IF(F3&gt;G3,"Action","Monitor"))</x:f>
        <x:v>No measured DP</x:v>
      </x:c>
      <x:c r="I3" s="11" t="str">
        <x:v>BAS-002</x:v>
      </x:c>
      <x:c r="J3" s="11" t="str">
        <x:v>Both pressure points not installed</x:v>
      </x:c>
      <x:c r="K3" s="11"/>
      <x:c r="L3" s="11"/>
    </x:row>
    <x:row r="4">
      <x:c r="A4" s="11" t="str">
        <x:v>STRDP-003</x:v>
      </x:c>
      <x:c r="B4" s="11" t="str">
        <x:v>2026-05-06 07:25</x:v>
      </x:c>
      <x:c r="C4" s="11" t="n">
        <x:v>47</x:v>
      </x:c>
      <x:c r="D4" s="11" t="str"/>
      <x:c r="E4" s="11" t="str"/>
      <x:c r="F4" s="14" t="str">
        <x:f>IF(OR(D4="",E4=""),"",D4-E4)</x:f>
      </x:c>
      <x:c r="G4" s="11" t="n">
        <x:v>5</x:v>
      </x:c>
      <x:c r="H4" s="11" t="str">
        <x:f>IF(F4="","No measured DP",IF(F4&gt;G4,"Action","Monitor"))</x:f>
        <x:v>No measured DP</x:v>
      </x:c>
      <x:c r="I4" s="11" t="str">
        <x:v>BAS-003</x:v>
      </x:c>
      <x:c r="J4" s="11" t="str">
        <x:v>Both pressure points not installed</x:v>
      </x:c>
      <x:c r="K4" s="11"/>
      <x:c r="L4" s="11"/>
    </x:row>
    <x:row r="5">
      <x:c r="A5" s="11" t="str">
        <x:v>STRDP-004</x:v>
      </x:c>
      <x:c r="B5" s="11" t="str">
        <x:v>2026-05-07 15:35</x:v>
      </x:c>
      <x:c r="C5" s="11" t="n">
        <x:v>47</x:v>
      </x:c>
      <x:c r="D5" s="11" t="str"/>
      <x:c r="E5" s="11" t="str"/>
      <x:c r="F5" s="14" t="str">
        <x:f>IF(OR(D5="",E5=""),"",D5-E5)</x:f>
      </x:c>
      <x:c r="G5" s="11" t="n">
        <x:v>5</x:v>
      </x:c>
      <x:c r="H5" s="11" t="str">
        <x:f>IF(F5="","No measured DP",IF(F5&gt;G5,"Action","Monitor"))</x:f>
        <x:v>No measured DP</x:v>
      </x:c>
      <x:c r="I5" s="11" t="str">
        <x:v>BAS-004</x:v>
      </x:c>
      <x:c r="J5" s="11" t="str">
        <x:v>Both pressure points not installed</x:v>
      </x:c>
      <x:c r="K5" s="11"/>
      <x:c r="L5" s="11"/>
    </x:row>
    <x:row r="6">
      <x:c r="A6" s="11" t="str">
        <x:v>STRDP-005</x:v>
      </x:c>
      <x:c r="B6" s="11" t="str">
        <x:v>2026-05-08 14:00</x:v>
      </x:c>
      <x:c r="C6" s="11" t="n">
        <x:v>50</x:v>
      </x:c>
      <x:c r="D6" s="11" t="str"/>
      <x:c r="E6" s="11" t="str"/>
      <x:c r="F6" s="14" t="str">
        <x:f>IF(OR(D6="",E6=""),"",D6-E6)</x:f>
      </x:c>
      <x:c r="G6" s="11" t="n">
        <x:v>5</x:v>
      </x:c>
      <x:c r="H6" s="11" t="str">
        <x:f>IF(F6="","No measured DP",IF(F6&gt;G6,"Action","Monitor"))</x:f>
        <x:v>No measured DP</x:v>
      </x:c>
      <x:c r="I6" s="11" t="str">
        <x:v>BAS-005</x:v>
      </x:c>
      <x:c r="J6" s="11" t="str">
        <x:v>Both pressure points not installed</x:v>
      </x:c>
      <x:c r="K6" s="11"/>
      <x:c r="L6" s="11"/>
    </x:row>
    <x:row r="7">
      <x:c r="A7" s="11" t="str">
        <x:v>STRDP-007</x:v>
      </x:c>
      <x:c r="B7" s="11" t="str">
        <x:v>2026-05-10 15:20</x:v>
      </x:c>
      <x:c r="C7" s="11" t="n">
        <x:v>47</x:v>
      </x:c>
      <x:c r="D7" s="11" t="n">
        <x:v>12.9</x:v>
      </x:c>
      <x:c r="E7" s="11" t="n">
        <x:v>8.1</x:v>
      </x:c>
      <x:c r="F7" s="14" t="n">
        <x:f>IF(OR(D7="",E7=""),"",D7-E7)</x:f>
        <x:v>4.800000000000001</x:v>
      </x:c>
      <x:c r="G7" s="11" t="n">
        <x:v>5</x:v>
      </x:c>
      <x:c r="H7" s="11" t="str">
        <x:f>IF(F7="","No measured DP",IF(F7&gt;G7,"Action","Monitor"))</x:f>
        <x:v>Monitor</x:v>
      </x:c>
      <x:c r="I7" s="11" t="str">
        <x:v>BAS-007</x:v>
      </x:c>
      <x:c r="J7" s="11" t="str">
        <x:v>DP taps active; high strainer DP</x:v>
      </x:c>
      <x:c r="K7" s="11"/>
      <x:c r="L7" s="11"/>
    </x:row>
    <x:row r="8">
      <x:c r="A8" s="11" t="str">
        <x:v>STRDP-008</x:v>
      </x:c>
      <x:c r="B8" s="11" t="str">
        <x:v>2026-05-10 18:10</x:v>
      </x:c>
      <x:c r="C8" s="11" t="n">
        <x:v>47</x:v>
      </x:c>
      <x:c r="D8" s="11" t="n">
        <x:v>13</x:v>
      </x:c>
      <x:c r="E8" s="11" t="n">
        <x:v>8.4</x:v>
      </x:c>
      <x:c r="F8" s="14" t="n">
        <x:f>IF(OR(D8="",E8=""),"",D8-E8)</x:f>
        <x:v>4.6</x:v>
      </x:c>
      <x:c r="G8" s="11" t="n">
        <x:v>5</x:v>
      </x:c>
      <x:c r="H8" s="11" t="str">
        <x:f>IF(F8="","No measured DP",IF(F8&gt;G8,"Action","Monitor"))</x:f>
        <x:v>Monitor</x:v>
      </x:c>
      <x:c r="I8" s="11" t="str">
        <x:v>BAS-008</x:v>
      </x:c>
      <x:c r="J8" s="11" t="str">
        <x:v>after claimed seal job; mist still present</x:v>
      </x:c>
      <x:c r="K8" s="11"/>
      <x:c r="L8" s="11"/>
    </x:row>
    <x:row r="9">
      <x:c r="A9" s="11" t="str">
        <x:v>STRDP-009</x:v>
      </x:c>
      <x:c r="B9" s="11" t="str">
        <x:v>2026-05-11 16:20</x:v>
      </x:c>
      <x:c r="C9" s="11" t="n">
        <x:v>50</x:v>
      </x:c>
      <x:c r="D9" s="11" t="n">
        <x:v>13.4</x:v>
      </x:c>
      <x:c r="E9" s="11" t="n">
        <x:v>8.2</x:v>
      </x:c>
      <x:c r="F9" s="14" t="n">
        <x:f>IF(OR(D9="",E9=""),"",D9-E9)</x:f>
        <x:v>5.200000000000001</x:v>
      </x:c>
      <x:c r="G9" s="11" t="n">
        <x:v>5</x:v>
      </x:c>
      <x:c r="H9" s="11" t="str">
        <x:f>IF(F9="","No measured DP",IF(F9&gt;G9,"Action","Monitor"))</x:f>
        <x:v>Action</x:v>
      </x:c>
      <x:c r="I9" s="11" t="str">
        <x:v>BAS-009</x:v>
      </x:c>
      <x:c r="J9" s="11" t="str">
        <x:v>flush gauge installed later same shift</x:v>
      </x:c>
      <x:c r="K9" s="11"/>
      <x:c r="L9" s="11"/>
    </x:row>
    <x:row r="10">
      <x:c r="A10" s="11" t="str">
        <x:v>STRDP-010</x:v>
      </x:c>
      <x:c r="B10" s="11" t="str">
        <x:v>2026-05-12 10:15</x:v>
      </x:c>
      <x:c r="C10" s="11" t="n">
        <x:v>50</x:v>
      </x:c>
      <x:c r="D10" s="11" t="n">
        <x:v>13.2</x:v>
      </x:c>
      <x:c r="E10" s="11" t="n">
        <x:v>8.7</x:v>
      </x:c>
      <x:c r="F10" s="14" t="n">
        <x:f>IF(OR(D10="",E10=""),"",D10-E10)</x:f>
        <x:v>4.5</x:v>
      </x:c>
      <x:c r="G10" s="11" t="n">
        <x:v>5</x:v>
      </x:c>
      <x:c r="H10" s="11" t="str">
        <x:f>IF(F10="","No measured DP",IF(F10&gt;G10,"Action","Monitor"))</x:f>
        <x:v>Monitor</x:v>
      </x:c>
      <x:c r="I10" s="11" t="str">
        <x:v>BAS-010</x:v>
      </x:c>
      <x:c r="J10" s="11" t="str">
        <x:v>ultrasonic meter shows BAS underreporting</x:v>
      </x:c>
      <x:c r="K10" s="11"/>
      <x:c r="L10" s="11"/>
    </x:row>
    <x:row r="11">
      <x:c r="A11" s="11" t="str">
        <x:v>STRDP-011</x:v>
      </x:c>
      <x:c r="B11" s="11" t="str">
        <x:v>2026-05-12 14:30</x:v>
      </x:c>
      <x:c r="C11" s="11" t="n">
        <x:v>50</x:v>
      </x:c>
      <x:c r="D11" s="11" t="n">
        <x:v>13.3</x:v>
      </x:c>
      <x:c r="E11" s="11" t="n">
        <x:v>8.5</x:v>
      </x:c>
      <x:c r="F11" s="14" t="n">
        <x:f>IF(OR(D11="",E11=""),"",D11-E11)</x:f>
        <x:v>4.800000000000001</x:v>
      </x:c>
      <x:c r="G11" s="11" t="n">
        <x:v>5</x:v>
      </x:c>
      <x:c r="H11" s="11" t="str">
        <x:f>IF(F11="","No measured DP",IF(F11&gt;G11,"Action","Monitor"))</x:f>
        <x:v>Monitor</x:v>
      </x:c>
      <x:c r="I11" s="11" t="str">
        <x:v>BAS-011</x:v>
      </x:c>
      <x:c r="J11" s="11" t="str">
        <x:v>after CT-2 basin cleaning; approach improved</x:v>
      </x:c>
      <x:c r="K11" s="11"/>
      <x:c r="L11" s="11"/>
    </x:row>
    <x:row r="12">
      <x:c r="A12" s="11" t="str">
        <x:v>STRDP-012</x:v>
      </x:c>
      <x:c r="B12" s="11" t="str">
        <x:v>2026-05-13 06:30</x:v>
      </x:c>
      <x:c r="C12" s="11" t="n">
        <x:v>47</x:v>
      </x:c>
      <x:c r="D12" s="11" t="n">
        <x:v>13.3</x:v>
      </x:c>
      <x:c r="E12" s="11" t="n">
        <x:v>9.3</x:v>
      </x:c>
      <x:c r="F12" s="14" t="n">
        <x:f>IF(OR(D12="",E12=""),"",D12-E12)</x:f>
        <x:v>4</x:v>
      </x:c>
      <x:c r="G12" s="11" t="n">
        <x:v>5</x:v>
      </x:c>
      <x:c r="H12" s="11" t="str">
        <x:f>IF(F12="","No measured DP",IF(F12&gt;G12,"Action","Monitor"))</x:f>
        <x:v>Monitor</x:v>
      </x:c>
      <x:c r="I12" s="11" t="str">
        <x:v>BAS-012</x:v>
      </x:c>
      <x:c r="J12" s="11" t="str">
        <x:v>strainer DP action level</x:v>
      </x:c>
      <x:c r="K12" s="11"/>
      <x:c r="L12" s="11"/>
    </x:row>
    <x:row r="13">
      <x:c r="A13" s="11" t="str">
        <x:v>STRDP-013</x:v>
      </x:c>
      <x:c r="B13" s="11" t="str">
        <x:v>2026-05-14 10:50</x:v>
      </x:c>
      <x:c r="C13" s="11" t="n">
        <x:v>50</x:v>
      </x:c>
      <x:c r="D13" s="11" t="n">
        <x:v>13.1</x:v>
      </x:c>
      <x:c r="E13" s="11" t="n">
        <x:v>8.1</x:v>
      </x:c>
      <x:c r="F13" s="14" t="n">
        <x:f>IF(OR(D13="",E13=""),"",D13-E13)</x:f>
        <x:v>5</x:v>
      </x:c>
      <x:c r="G13" s="11" t="n">
        <x:v>5</x:v>
      </x:c>
      <x:c r="H13" s="11" t="str">
        <x:f>IF(F13="","No measured DP",IF(F13&gt;G13,"Action","Monitor"))</x:f>
        <x:v>Monitor</x:v>
      </x:c>
      <x:c r="I13" s="11" t="str">
        <x:v>BAS-013</x:v>
      </x:c>
      <x:c r="J13" s="11" t="str">
        <x:v>alignment marked pass by site tolerance</x:v>
      </x:c>
      <x:c r="K13" s="11"/>
      <x:c r="L13" s="11"/>
    </x:row>
    <x:row r="14">
      <x:c r="A14" s="11" t="str">
        <x:v>STRDP-014</x:v>
      </x:c>
      <x:c r="B14" s="11" t="str">
        <x:v>2026-05-15 09:45</x:v>
      </x:c>
      <x:c r="C14" s="11" t="n">
        <x:v>50</x:v>
      </x:c>
      <x:c r="D14" s="11" t="n">
        <x:v>13.3</x:v>
      </x:c>
      <x:c r="E14" s="11" t="n">
        <x:v>8.8</x:v>
      </x:c>
      <x:c r="F14" s="14" t="n">
        <x:f>IF(OR(D14="",E14=""),"",D14-E14)</x:f>
        <x:v>4.5</x:v>
      </x:c>
      <x:c r="G14" s="11" t="n">
        <x:v>5</x:v>
      </x:c>
      <x:c r="H14" s="11" t="str">
        <x:f>IF(F14="","No measured DP",IF(F14&gt;G14,"Action","Monitor"))</x:f>
        <x:v>Monitor</x:v>
      </x:c>
      <x:c r="I14" s="11" t="str">
        <x:v>BAS-014</x:v>
      </x:c>
      <x:c r="J14" s="11" t="str">
        <x:v>before BAS scale correction</x:v>
      </x:c>
      <x:c r="K14" s="11"/>
      <x:c r="L14" s="11"/>
    </x:row>
    <x:row r="15">
      <x:c r="A15" s="11" t="str">
        <x:v>STRDP-015</x:v>
      </x:c>
      <x:c r="B15" s="11" t="str">
        <x:v>2026-05-15 10:20</x:v>
      </x:c>
      <x:c r="C15" s="11" t="n">
        <x:v>50</x:v>
      </x:c>
      <x:c r="D15" s="11" t="n">
        <x:v>13.3</x:v>
      </x:c>
      <x:c r="E15" s="11" t="n">
        <x:v>8.7</x:v>
      </x:c>
      <x:c r="F15" s="14" t="n">
        <x:f>IF(OR(D15="",E15=""),"",D15-E15)</x:f>
        <x:v>4.600000000000001</x:v>
      </x:c>
      <x:c r="G15" s="11" t="n">
        <x:v>5</x:v>
      </x:c>
      <x:c r="H15" s="11" t="str">
        <x:f>IF(F15="","No measured DP",IF(F15&gt;G15,"Action","Monitor"))</x:f>
        <x:v>Monitor</x:v>
      </x:c>
      <x:c r="I15" s="11" t="str">
        <x:v>BAS-015</x:v>
      </x:c>
      <x:c r="J15" s="11" t="str">
        <x:v>after BAS scale correction</x:v>
      </x:c>
      <x:c r="K15" s="11"/>
      <x:c r="L15" s="11"/>
    </x:row>
    <x:row r="16">
      <x:c r="A16" s="11" t="str">
        <x:v>STRDP-016</x:v>
      </x:c>
      <x:c r="B16" s="11" t="str">
        <x:v>2026-05-15 14:05</x:v>
      </x:c>
      <x:c r="C16" s="11" t="n">
        <x:v>50</x:v>
      </x:c>
      <x:c r="D16" s="11" t="n">
        <x:v>13</x:v>
      </x:c>
      <x:c r="E16" s="11" t="n">
        <x:v>4.6</x:v>
      </x:c>
      <x:c r="F16" s="14" t="n">
        <x:f>IF(OR(D16="",E16=""),"",D16-E16)</x:f>
        <x:v>8.4</x:v>
      </x:c>
      <x:c r="G16" s="11" t="n">
        <x:v>5</x:v>
      </x:c>
      <x:c r="H16" s="11" t="str">
        <x:f>IF(F16="","No measured DP",IF(F16&gt;G16,"Action","Monitor"))</x:f>
        <x:v>Action</x:v>
      </x:c>
      <x:c r="I16" s="11" t="str">
        <x:v>BAS-016</x:v>
      </x:c>
      <x:c r="J16" s="11" t="str">
        <x:v>pre-clean DP using corrected flow</x:v>
      </x:c>
      <x:c r="K16" s="11"/>
      <x:c r="L16" s="11"/>
    </x:row>
    <x:row r="17">
      <x:c r="A17" s="11" t="str">
        <x:v>STRDP-017</x:v>
      </x:c>
      <x:c r="B17" s="11" t="str">
        <x:v>2026-05-15 15:20</x:v>
      </x:c>
      <x:c r="C17" s="11" t="n">
        <x:v>50</x:v>
      </x:c>
      <x:c r="D17" s="11" t="n">
        <x:v>13.2</x:v>
      </x:c>
      <x:c r="E17" s="11" t="n">
        <x:v>11.1</x:v>
      </x:c>
      <x:c r="F17" s="14" t="n">
        <x:f>IF(OR(D17="",E17=""),"",D17-E17)</x:f>
        <x:v>2.0999999999999996</x:v>
      </x:c>
      <x:c r="G17" s="11" t="n">
        <x:v>5</x:v>
      </x:c>
      <x:c r="H17" s="11" t="str">
        <x:f>IF(F17="","No measured DP",IF(F17&gt;G17,"Action","Monitor"))</x:f>
        <x:v>Monitor</x:v>
      </x:c>
      <x:c r="I17" s="11" t="str">
        <x:v>BAS-017</x:v>
      </x:c>
      <x:c r="J17" s="11" t="str">
        <x:v>post-clean DP lower; flow improved</x:v>
      </x:c>
      <x:c r="K17" s="11"/>
      <x:c r="L17" s="11"/>
    </x:row>
    <x:row r="18">
      <x:c r="A18" s="11" t="str">
        <x:v>STRDP-018</x:v>
      </x:c>
      <x:c r="B18" s="11" t="str">
        <x:v>2026-05-16 07:40</x:v>
      </x:c>
      <x:c r="C18" s="11" t="n">
        <x:v>47</x:v>
      </x:c>
      <x:c r="D18" s="11" t="n">
        <x:v>13.4</x:v>
      </x:c>
      <x:c r="E18" s="11" t="n">
        <x:v>10.1</x:v>
      </x:c>
      <x:c r="F18" s="14" t="n">
        <x:f>IF(OR(D18="",E18=""),"",D18-E18)</x:f>
        <x:v>3.3000000000000007</x:v>
      </x:c>
      <x:c r="G18" s="11" t="n">
        <x:v>5</x:v>
      </x:c>
      <x:c r="H18" s="11" t="str">
        <x:f>IF(F18="","No measured DP",IF(F18&gt;G18,"Action","Monitor"))</x:f>
        <x:v>Monitor</x:v>
      </x:c>
      <x:c r="I18" s="11" t="str">
        <x:v>BAS-018</x:v>
      </x:c>
      <x:c r="J18" s="11" t="str">
        <x:v>post-clean, vibration still high</x:v>
      </x:c>
      <x:c r="K18" s="11"/>
      <x:c r="L18" s="11"/>
    </x:row>
    <x:row r="19">
      <x:c r="A19" s="11" t="str">
        <x:v>STRDP-019</x:v>
      </x:c>
      <x:c r="B19" s="11" t="str">
        <x:v>2026-05-17 06:10</x:v>
      </x:c>
      <x:c r="C19" s="11" t="n">
        <x:v>47</x:v>
      </x:c>
      <x:c r="D19" s="11" t="n">
        <x:v>13</x:v>
      </x:c>
      <x:c r="E19" s="11" t="n">
        <x:v>9.4</x:v>
      </x:c>
      <x:c r="F19" s="14" t="n">
        <x:f>IF(OR(D19="",E19=""),"",D19-E19)</x:f>
        <x:v>3.5999999999999996</x:v>
      </x:c>
      <x:c r="G19" s="11" t="n">
        <x:v>5</x:v>
      </x:c>
      <x:c r="H19" s="11" t="str">
        <x:f>IF(F19="","No measured DP",IF(F19&gt;G19,"Action","Monitor"))</x:f>
        <x:v>Monitor</x:v>
      </x:c>
      <x:c r="I19" s="11" t="str">
        <x:v>BAS-019</x:v>
      </x:c>
      <x:c r="J19" s="11" t="str">
        <x:v>Chiller 1 loading; correctly scaled flow</x:v>
      </x:c>
      <x:c r="K19" s="11"/>
      <x:c r="L19" s="11"/>
    </x:row>
    <x:row r="20">
      <x:c r="A20" s="11" t="str">
        <x:v>STRDP-020</x:v>
      </x:c>
      <x:c r="B20" s="11" t="str">
        <x:v>2026-05-18 11:48</x:v>
      </x:c>
      <x:c r="C20" s="11" t="n">
        <x:v>47</x:v>
      </x:c>
      <x:c r="D20" s="11" t="n">
        <x:v>13.1</x:v>
      </x:c>
      <x:c r="E20" s="11" t="n">
        <x:v>9.7</x:v>
      </x:c>
      <x:c r="F20" s="14" t="n">
        <x:f>IF(OR(D20="",E20=""),"",D20-E20)</x:f>
        <x:v>3.4000000000000004</x:v>
      </x:c>
      <x:c r="G20" s="11" t="n">
        <x:v>5</x:v>
      </x:c>
      <x:c r="H20" s="11" t="str">
        <x:f>IF(F20="","No measured DP",IF(F20&gt;G20,"Action","Monitor"))</x:f>
        <x:v>Monitor</x:v>
      </x:c>
      <x:c r="I20" s="11" t="str">
        <x:v>BAS-020</x:v>
      </x:c>
      <x:c r="J20" s="11" t="str">
        <x:v>trip impact; tower approach normal</x:v>
      </x:c>
      <x:c r="K20" s="11"/>
      <x:c r="L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</x:sheetData>
  <x:pageMargins left="0.7" right="0.7" top="0.75" bottom="0.75" header="0.3" footer="0.3"/>
  <x:tableParts count="1">
    <x:tablePart xmlns:r="http://schemas.openxmlformats.org/officeDocument/2006/relationships" r:id="Raa12b2b049784a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.5" hidden="0" customWidth="1"/>
    <x:col min="2" max="2" width="14.880000114440918" hidden="0" customWidth="1"/>
    <x:col min="3" max="3" width="18.6299991607666" hidden="0" customWidth="1"/>
    <x:col min="4" max="4" width="49.75" hidden="0" customWidth="1"/>
  </x:cols>
  <x:sheetData>
    <x:row r="1">
      <x:c r="A1" s="10" t="str">
        <x:v>source_file</x:v>
      </x:c>
      <x:c r="B1" s="10" t="str">
        <x:v>sheet_or_section</x:v>
      </x:c>
      <x:c r="C1" s="10" t="str">
        <x:v>record_range</x:v>
      </x:c>
      <x:c r="D1" s="10" t="str">
        <x:v>role_in_reconciliation</x:v>
      </x:c>
    </x:row>
    <x:row r="2">
      <x:c r="A2" s="11" t="str">
        <x:v>NU_CWP_asset_register_and_tag_crosswalk.csv</x:v>
      </x:c>
      <x:c r="B2" s="11" t="str">
        <x:v>all rows</x:v>
      </x:c>
      <x:c r="C2" s="11" t="str">
        <x:v>AS-001 to AS-020</x:v>
      </x:c>
      <x:c r="D2" s="11" t="str">
        <x:v>tag identity and instrument crosswalk</x:v>
      </x:c>
    </x:row>
    <x:row r="3">
      <x:c r="A3" s="11" t="str">
        <x:v>NU_CWP_BAS_pressure_flow_trends.csv</x:v>
      </x:c>
      <x:c r="B3" s="11" t="str">
        <x:v>trend rows</x:v>
      </x:c>
      <x:c r="C3" s="11" t="str">
        <x:v>BAS-001 to BAS-020</x:v>
      </x:c>
      <x:c r="D3" s="11" t="str">
        <x:v>time-correlated pressure, flow, temperature, valve, and trip values</x:v>
      </x:c>
    </x:row>
    <x:row r="4">
      <x:c r="A4" s="11" t="str">
        <x:v>NU_CWP_pump_curve_and_field_readings.xlsx</x:v>
      </x:c>
      <x:c r="B4" s="11" t="str">
        <x:v>Curve_Data</x:v>
      </x:c>
      <x:c r="C4" s="11" t="str">
        <x:v>CUR-43 to CUR-52</x:v>
      </x:c>
      <x:c r="D4" s="11" t="str">
        <x:v>curve and speed-normalized comparison values</x:v>
      </x:c>
    </x:row>
    <x:row r="5">
      <x:c r="A5" s="11" t="str">
        <x:v>NU_CWP_pump_curve_and_field_readings.xlsx</x:v>
      </x:c>
      <x:c r="B5" s="11" t="str">
        <x:v>Field_Readings</x:v>
      </x:c>
      <x:c r="C5" s="11" t="str">
        <x:v>PFR-001 to PFR-009</x:v>
      </x:c>
      <x:c r="D5" s="11" t="str">
        <x:v>field readings with BAS/ultrasonic conflict</x:v>
      </x:c>
    </x:row>
    <x:row r="6">
      <x:c r="A6" s="11" t="str">
        <x:v>NU_CWP_pump_curve_and_field_readings.xlsx</x:v>
      </x:c>
      <x:c r="B6" s="11" t="str">
        <x:v>Instrument_Scaling</x:v>
      </x:c>
      <x:c r="C6" s="11" t="str">
        <x:v>SCALE-001 to SCALE-005</x:v>
      </x:c>
      <x:c r="D6" s="11" t="str">
        <x:v>flow transmitter scaling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9eae4bdc638f4781"/>
  </x:tableParts>
</x:worksheet>
</file>